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-M-FW Diagnostic" sheetId="1" state="visible" r:id="rId3"/>
    <sheet name="Scenario Scorer" sheetId="2" state="visible" r:id="rId4"/>
    <sheet name="Reciprocity Test" sheetId="3" state="visible" r:id="rId5"/>
    <sheet name="Coherence Index" sheetId="4" state="visible" r:id="rId6"/>
    <sheet name="Historical Baseline" sheetId="5" state="visible" r:id="rId7"/>
    <sheet name="α Resolver" sheetId="6" state="visible" r:id="rId8"/>
    <sheet name="Canonical Equations" sheetId="7" state="visible" r:id="rId9"/>
    <sheet name="Impossibility Proof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1" authorId="0">
      <text>
        <r>
          <rPr>
            <sz val="10"/>
            <rFont val="Arial"/>
            <family val="2"/>
          </rPr>
          <t xml:space="preserve">David:
Positive = demands more justice as social distance increases. Negative = demands more justice locally.</t>
        </r>
      </text>
    </comment>
    <comment ref="A62" authorId="0">
      <text>
        <r>
          <rPr>
            <sz val="10"/>
            <rFont val="Arial"/>
            <family val="2"/>
          </rPr>
          <t xml:space="preserve">David:
Negative = expects more mercy locally than systemically. This is normal. Positive = expects more mercy from strangers than family (incoherent).</t>
        </r>
      </text>
    </comment>
    <comment ref="A63" authorId="0">
      <text>
        <r>
          <rPr>
            <sz val="10"/>
            <rFont val="Arial"/>
            <family val="2"/>
          </rPr>
          <t xml:space="preserve">David:
Positive = claims more free will at scale than locally. Measures whether you demand freedoms from the system you don't grant at home.</t>
        </r>
      </text>
    </comment>
    <comment ref="A64" authorId="0">
      <text>
        <r>
          <rPr>
            <sz val="10"/>
            <rFont val="Arial"/>
            <family val="2"/>
          </rPr>
          <t xml:space="preserve">David:
Core Law 5 metric. High score = demanding justice from far away while consuming mercy up close and exercising maximum free will everywhere. The cost is being pushed onto strangers.</t>
        </r>
      </text>
    </comment>
  </commentList>
</comments>
</file>

<file path=xl/sharedStrings.xml><?xml version="1.0" encoding="utf-8"?>
<sst xmlns="http://schemas.openxmlformats.org/spreadsheetml/2006/main" count="840" uniqueCount="759">
  <si>
    <t xml:space="preserve">JUSTICE – MERCY – FREE WILL  COHERENCE DIAGNOSTIC</t>
  </si>
  <si>
    <t xml:space="preserve">Law 5 Social-Radius Scoring Engine</t>
  </si>
  <si>
    <t xml:space="preserve">HOW TO USE</t>
  </si>
  <si>
    <t xml:space="preserve">1. Pick an issue (e.g., Immigration, Abortion, Gun Control, Criminal Sentencing)</t>
  </si>
  <si>
    <t xml:space="preserve">2. For each Social Radius (Family → Federal), answer the 3 binary sub-questions for Justice, Mercy, and Free Will</t>
  </si>
  <si>
    <t xml:space="preserve">3. Enter 1 (Yes) or 0 (No) in the yellow input cells. Scores and coherence calculate automatically.</t>
  </si>
  <si>
    <t xml:space="preserve">4. The Coherence Verdict at the bottom tells you whether the position is internally consistent across social distance.</t>
  </si>
  <si>
    <t xml:space="preserve">ISSUE BEING SCORED:</t>
  </si>
  <si>
    <t xml:space="preserve">(Type issue name here)</t>
  </si>
  <si>
    <t xml:space="preserve">JUSTICE SUB-QUESTIONS</t>
  </si>
  <si>
    <t xml:space="preserve">J1: Is there an identifiable harm or offense?</t>
  </si>
  <si>
    <t xml:space="preserve">J2: Is there an identifiable victim or class of victims?</t>
  </si>
  <si>
    <t xml:space="preserve">J3: Does someone have to pay a measurable cost to resolve it?</t>
  </si>
  <si>
    <t xml:space="preserve">MERCY SUB-QUESTIONS</t>
  </si>
  <si>
    <t xml:space="preserve">M1: Does the offender lack capacity to fully repair the damage?</t>
  </si>
  <si>
    <t xml:space="preserve">M2: Would strict proportional punishment fail to restore the victim?</t>
  </si>
  <si>
    <t xml:space="preserve">M3: Does resolution require a third party absorbing cost?</t>
  </si>
  <si>
    <t xml:space="preserve">FREE WILL SUB-QUESTIONS</t>
  </si>
  <si>
    <t xml:space="preserve">W1: Does coercing the outcome destroy its moral value?</t>
  </si>
  <si>
    <t xml:space="preserve">W2: Do reasonable people disagree on the right answer in good faith?</t>
  </si>
  <si>
    <t xml:space="preserve">W3: Does the issue involve irreducible personal conscience?</t>
  </si>
  <si>
    <t xml:space="preserve">SCORING GRID</t>
  </si>
  <si>
    <t xml:space="preserve">Enter 1 (Yes) or 0 (No) in yellow cells. Each sub-question = 1 point. Max score per variable = 3.</t>
  </si>
  <si>
    <t xml:space="preserve">FAMILY</t>
  </si>
  <si>
    <t xml:space="preserve">COMMUNITY</t>
  </si>
  <si>
    <t xml:space="preserve">STATE</t>
  </si>
  <si>
    <t xml:space="preserve">FEDERAL</t>
  </si>
  <si>
    <t xml:space="preserve">JUSTICE</t>
  </si>
  <si>
    <t xml:space="preserve">  J1: Identifiable harm?</t>
  </si>
  <si>
    <t xml:space="preserve">  J2: Identifiable victim?</t>
  </si>
  <si>
    <t xml:space="preserve">  J3: Measurable cost to resolve?</t>
  </si>
  <si>
    <t xml:space="preserve">  J SCORE</t>
  </si>
  <si>
    <t xml:space="preserve">MERCY</t>
  </si>
  <si>
    <t xml:space="preserve">  M1: Offender can't fully repair?</t>
  </si>
  <si>
    <t xml:space="preserve">  M2: Strict punishment fails to restore?</t>
  </si>
  <si>
    <t xml:space="preserve">  M3: Third party must absorb cost?</t>
  </si>
  <si>
    <t xml:space="preserve">  M SCORE</t>
  </si>
  <si>
    <t xml:space="preserve">FREE WILL</t>
  </si>
  <si>
    <t xml:space="preserve">  W1: Coercion destroys moral value?</t>
  </si>
  <si>
    <t xml:space="preserve">  W2: Good-faith disagreement exists?</t>
  </si>
  <si>
    <t xml:space="preserve">  W3: Irreducible personal conscience?</t>
  </si>
  <si>
    <t xml:space="preserve">  W SCORE</t>
  </si>
  <si>
    <t xml:space="preserve">TRILEMMA CLASSIFICATION</t>
  </si>
  <si>
    <t xml:space="preserve">  J-M-W Profile</t>
  </si>
  <si>
    <t xml:space="preserve">  Classification</t>
  </si>
  <si>
    <t xml:space="preserve">CROSS-RADIUS COHERENCE ANALYSIS</t>
  </si>
  <si>
    <t xml:space="preserve">This section detects asymmetry: demanding justice at one social distance while consuming mercy at another.</t>
  </si>
  <si>
    <t xml:space="preserve">COST-BEARING ANALYSIS</t>
  </si>
  <si>
    <t xml:space="preserve">SPREAD</t>
  </si>
  <si>
    <t xml:space="preserve">  Justice Demanded</t>
  </si>
  <si>
    <t xml:space="preserve">  Mercy Expected</t>
  </si>
  <si>
    <t xml:space="preserve">  Free Will Exercised</t>
  </si>
  <si>
    <t xml:space="preserve">ASYMMETRY DETECTORS</t>
  </si>
  <si>
    <t xml:space="preserve">  Justice Gradient (Fam→Fed)</t>
  </si>
  <si>
    <t xml:space="preserve">  Mercy Gradient (Fam→Fed)</t>
  </si>
  <si>
    <t xml:space="preserve">  Free Will Gradient (Fam→Fed)</t>
  </si>
  <si>
    <t xml:space="preserve">  Cost-Export Score</t>
  </si>
  <si>
    <t xml:space="preserve">COHERENCE VERDICT</t>
  </si>
  <si>
    <t xml:space="preserve">  Overall Coherence</t>
  </si>
  <si>
    <t xml:space="preserve">  Diagnosis</t>
  </si>
  <si>
    <t xml:space="preserve">THE CROSS PREDICTION (Falsifiable)</t>
  </si>
  <si>
    <t xml:space="preserve">If any radius scores 3-3-3 (Full Trilemma), the framework predicts:</t>
  </si>
  <si>
    <t xml:space="preserve">NO policy resolution exists that doesn't include a voluntary third-party cost-bearer.</t>
  </si>
  <si>
    <t xml:space="preserve">To falsify: find a 3-3-3 issue resolved without a third-party cost-bearer.</t>
  </si>
  <si>
    <t xml:space="preserve">  Any Full Trilemma detected?</t>
  </si>
  <si>
    <t xml:space="preserve">SCENARIO SCORER — Quick-Entry Mode</t>
  </si>
  <si>
    <t xml:space="preserve">Score any issue's J-M-W profile at each social radius. Enter scores 0–3 directly.</t>
  </si>
  <si>
    <t xml:space="preserve">COHERENCE</t>
  </si>
  <si>
    <t xml:space="preserve">ISSUE</t>
  </si>
  <si>
    <t xml:space="preserve">J</t>
  </si>
  <si>
    <t xml:space="preserve">M</t>
  </si>
  <si>
    <t xml:space="preserve">W</t>
  </si>
  <si>
    <t xml:space="preserve">Cost Export</t>
  </si>
  <si>
    <t xml:space="preserve">Verdict</t>
  </si>
  <si>
    <t xml:space="preserve">Immigration</t>
  </si>
  <si>
    <t xml:space="preserve">Abortion</t>
  </si>
  <si>
    <t xml:space="preserve">Criminal Sentencing</t>
  </si>
  <si>
    <t xml:space="preserve">Gun Control</t>
  </si>
  <si>
    <t xml:space="preserve">Healthcare Access</t>
  </si>
  <si>
    <t xml:space="preserve">Education Policy</t>
  </si>
  <si>
    <t xml:space="preserve">Drug Policy</t>
  </si>
  <si>
    <t xml:space="preserve">Homelessness</t>
  </si>
  <si>
    <t xml:space="preserve">(Your Issue)</t>
  </si>
  <si>
    <t xml:space="preserve">RECIPROCITY TEST — The Killer Diagnostic</t>
  </si>
  <si>
    <t xml:space="preserve">For every position: What do you DEMAND vs. what do you TAKE from the other side?</t>
  </si>
  <si>
    <t xml:space="preserve">If the answers are asymmetric — "I get mercy but you get justice" — the position is incoherent.</t>
  </si>
  <si>
    <t xml:space="preserve">POSITION / POLICY</t>
  </si>
  <si>
    <t xml:space="preserve">J DEMANDED</t>
  </si>
  <si>
    <t xml:space="preserve">M DEMANDED</t>
  </si>
  <si>
    <t xml:space="preserve">W DEMANDED</t>
  </si>
  <si>
    <t xml:space="preserve">J TAKEN</t>
  </si>
  <si>
    <t xml:space="preserve">M TAKEN</t>
  </si>
  <si>
    <t xml:space="preserve">W TAKEN</t>
  </si>
  <si>
    <t xml:space="preserve">BALANCE</t>
  </si>
  <si>
    <t xml:space="preserve">VERDICT</t>
  </si>
  <si>
    <t xml:space="preserve">FOR SELF</t>
  </si>
  <si>
    <t xml:space="preserve">FROM OTHER</t>
  </si>
  <si>
    <t xml:space="preserve">Unrestricted abortion access</t>
  </si>
  <si>
    <t xml:space="preserve">Total abortion ban</t>
  </si>
  <si>
    <t xml:space="preserve">Universal gun rights</t>
  </si>
  <si>
    <t xml:space="preserve">Gun prohibition</t>
  </si>
  <si>
    <t xml:space="preserve">Open borders</t>
  </si>
  <si>
    <t xml:space="preserve">Closed borders</t>
  </si>
  <si>
    <t xml:space="preserve">Universal healthcare (single payer)</t>
  </si>
  <si>
    <t xml:space="preserve">Free market healthcare only</t>
  </si>
  <si>
    <t xml:space="preserve">(Your Position)</t>
  </si>
  <si>
    <t xml:space="preserve">THE PATTERN</t>
  </si>
  <si>
    <t xml:space="preserve">Demanding one leg of the trilemma NECESSARILY takes from the other two.</t>
  </si>
  <si>
    <t xml:space="preserve">No political position scores well on all three unless it includes a voluntary cost-bearer.</t>
  </si>
  <si>
    <t xml:space="preserve">IDEOLOGICAL SIGNATURES</t>
  </si>
  <si>
    <t xml:space="preserve">Ideology</t>
  </si>
  <si>
    <t xml:space="preserve">Maximizes</t>
  </si>
  <si>
    <t xml:space="preserve">Ignores</t>
  </si>
  <si>
    <t xml:space="preserve">Result</t>
  </si>
  <si>
    <t xml:space="preserve">Left / Progressive</t>
  </si>
  <si>
    <t xml:space="preserve">Mercy</t>
  </si>
  <si>
    <t xml:space="preserve">Demands Justice pay via coercion</t>
  </si>
  <si>
    <t xml:space="preserve">Cost-bearing is compulsory, not voluntary</t>
  </si>
  <si>
    <t xml:space="preserve">Right / Conservative</t>
  </si>
  <si>
    <t xml:space="preserve">Justice</t>
  </si>
  <si>
    <t xml:space="preserve">Demands Mercy shut up about casualties</t>
  </si>
  <si>
    <t xml:space="preserve">No cost absorption for those who fall through</t>
  </si>
  <si>
    <t xml:space="preserve">Libertarian</t>
  </si>
  <si>
    <t xml:space="preserve">Free Will</t>
  </si>
  <si>
    <t xml:space="preserve">Refuses to acknowledge someone always pays</t>
  </si>
  <si>
    <t xml:space="preserve">Cost externalized, no one bears it voluntarily</t>
  </si>
  <si>
    <t xml:space="preserve">RECIPROCITY QUESTION</t>
  </si>
  <si>
    <t xml:space="preserve">For any policy proposal, score:</t>
  </si>
  <si>
    <t xml:space="preserve">  1. How much J-M-W does this DEMAND?</t>
  </si>
  <si>
    <t xml:space="preserve">  2. How much J-M-W does this TAKE from others?</t>
  </si>
  <si>
    <t xml:space="preserve">  3. Who bears the cost — voluntarily or by coercion?</t>
  </si>
  <si>
    <t xml:space="preserve">  4. What happens when the other side applies the same logic?</t>
  </si>
  <si>
    <t xml:space="preserve">If the answers are asymmetric, the position is incoherent. The ledger doesn't close.</t>
  </si>
  <si>
    <t xml:space="preserve">COHERENCE INDEX — Coerced vs. Voluntary Cost-Bearing</t>
  </si>
  <si>
    <t xml:space="preserve">The ratio of coerced-to-voluntary cost-bearing is the coherence index for any social system.</t>
  </si>
  <si>
    <t xml:space="preserve">THE MEASURABLE PREDICTION</t>
  </si>
  <si>
    <t xml:space="preserve">As voluntary cost-bearing declines, the state MUST increase coerced cost-bearing.</t>
  </si>
  <si>
    <t xml:space="preserve">This is not opinion. It is an accounting identity: someone always pays.</t>
  </si>
  <si>
    <t xml:space="preserve">DATA INPUTS — Enter actual values from public data sources</t>
  </si>
  <si>
    <t xml:space="preserve">All values in billions (USD). Yellow cells = user inputs.</t>
  </si>
  <si>
    <t xml:space="preserve">VOLUNTARY COST-BEARING</t>
  </si>
  <si>
    <t xml:space="preserve">SOURCE</t>
  </si>
  <si>
    <t xml:space="preserve">BASELINE</t>
  </si>
  <si>
    <t xml:space="preserve">CURRENT</t>
  </si>
  <si>
    <t xml:space="preserve">Δ CHANGE</t>
  </si>
  <si>
    <t xml:space="preserve">Individual charitable giving</t>
  </si>
  <si>
    <t xml:space="preserve">IRS Statistics of Income</t>
  </si>
  <si>
    <t xml:space="preserve">Church/religious giving</t>
  </si>
  <si>
    <t xml:space="preserve">Giving USA / IRS</t>
  </si>
  <si>
    <t xml:space="preserve">Foundation/corporate giving</t>
  </si>
  <si>
    <t xml:space="preserve">Giving USA</t>
  </si>
  <si>
    <t xml:space="preserve">Mutual aid / community orgs</t>
  </si>
  <si>
    <t xml:space="preserve">Census / research</t>
  </si>
  <si>
    <t xml:space="preserve">Family-level dispute resolution (est.)</t>
  </si>
  <si>
    <t xml:space="preserve">Proxy estimate</t>
  </si>
  <si>
    <t xml:space="preserve">TOTAL VOLUNTARY</t>
  </si>
  <si>
    <t xml:space="preserve">COERCED COST-BEARING</t>
  </si>
  <si>
    <t xml:space="preserve">Federal social program spending</t>
  </si>
  <si>
    <t xml:space="preserve">OMB / CBO</t>
  </si>
  <si>
    <t xml:space="preserve">State enforcement budgets</t>
  </si>
  <si>
    <t xml:space="preserve">Census of Governments</t>
  </si>
  <si>
    <t xml:space="preserve">Court/litigation system costs</t>
  </si>
  <si>
    <t xml:space="preserve">NCSC / DOJ</t>
  </si>
  <si>
    <t xml:space="preserve">Regulatory compliance overhead</t>
  </si>
  <si>
    <t xml:space="preserve">Competitive Enterprise Inst.</t>
  </si>
  <si>
    <t xml:space="preserve">Incarceration costs</t>
  </si>
  <si>
    <t xml:space="preserve">BJS / Vera Institute</t>
  </si>
  <si>
    <t xml:space="preserve">TOTAL COERCED</t>
  </si>
  <si>
    <t xml:space="preserve">COHERENCE INDEX CALCULATION</t>
  </si>
  <si>
    <t xml:space="preserve">Metric</t>
  </si>
  <si>
    <t xml:space="preserve">DIRECTION</t>
  </si>
  <si>
    <t xml:space="preserve">Coerced ÷ Voluntary Ratio</t>
  </si>
  <si>
    <t xml:space="preserve">Voluntary Share of Total Cost-Bearing</t>
  </si>
  <si>
    <t xml:space="preserve">α (alpha) — Voluntary Cost-Bearer Present?</t>
  </si>
  <si>
    <t xml:space="preserve">INTERPRETATION</t>
  </si>
  <si>
    <t xml:space="preserve">Ratio &lt; 1.0x → More voluntary than coerced. Community absorbs cost. High coherence.</t>
  </si>
  <si>
    <t xml:space="preserve">Ratio 1.0–2.0x → Coercion exceeds voluntary. Institutions replacing community. Tension.</t>
  </si>
  <si>
    <t xml:space="preserve">Ratio &gt; 2.0x → System-dependent. Voluntary cost-bearer has disappeared. Trilemma exposed.</t>
  </si>
  <si>
    <t xml:space="preserve">SYSTEM VERDICT</t>
  </si>
  <si>
    <t xml:space="preserve">Current system coherence:</t>
  </si>
  <si>
    <t xml:space="preserve">HISTORICAL BASELINE — Cost-Bearing Shift by Decade</t>
  </si>
  <si>
    <t xml:space="preserve">Tracking the shift from voluntary to coerced cost-bearing across American social infrastructure.</t>
  </si>
  <si>
    <t xml:space="preserve">COST-BEARING INFRASTRUCTURE BY ERA</t>
  </si>
  <si>
    <t xml:space="preserve">Indicator</t>
  </si>
  <si>
    <t xml:space="preserve">1900–1950</t>
  </si>
  <si>
    <t xml:space="preserve">1950–1970</t>
  </si>
  <si>
    <t xml:space="preserve">1970–1990</t>
  </si>
  <si>
    <t xml:space="preserve">1990–2010</t>
  </si>
  <si>
    <t xml:space="preserve">2010–Present</t>
  </si>
  <si>
    <t xml:space="preserve">TREND</t>
  </si>
  <si>
    <t xml:space="preserve">Church membership (% of pop.)</t>
  </si>
  <si>
    <t xml:space="preserve">Charitable giving (% of GDP)</t>
  </si>
  <si>
    <t xml:space="preserve">Family stability (married HH %)</t>
  </si>
  <si>
    <t xml:space="preserve">Community org participation (%)</t>
  </si>
  <si>
    <t xml:space="preserve">Disputes resolved at family/church level (%)</t>
  </si>
  <si>
    <t xml:space="preserve">Federal social spending (% of GDP)</t>
  </si>
  <si>
    <t xml:space="preserve">Litigation rate (cases per 1,000 pop.)</t>
  </si>
  <si>
    <t xml:space="preserve">Incarceration rate (per 100,000)</t>
  </si>
  <si>
    <t xml:space="preserve">Regulatory burden (pages of Federal Register)</t>
  </si>
  <si>
    <t xml:space="preserve">Family court caseload (per 1,000 pop.)</t>
  </si>
  <si>
    <t xml:space="preserve">ERA ANALYSIS — What Changed and When</t>
  </si>
  <si>
    <t xml:space="preserve">ERA</t>
  </si>
  <si>
    <t xml:space="preserve">PRIMARY COST-BEARER</t>
  </si>
  <si>
    <t xml:space="preserve">MECHANISM</t>
  </si>
  <si>
    <t xml:space="preserve">COHERENCE LEVEL</t>
  </si>
  <si>
    <t xml:space="preserve">Family, Church, Mutual Aid</t>
  </si>
  <si>
    <t xml:space="preserve">Voluntary. Pastor + conversation resolved disputes.</t>
  </si>
  <si>
    <t xml:space="preserve">HIGH</t>
  </si>
  <si>
    <t xml:space="preserve">Shift: Family → Federal</t>
  </si>
  <si>
    <t xml:space="preserve">Great Society. Institutional mercy via compulsory taxation.</t>
  </si>
  <si>
    <t xml:space="preserve">DECLINING</t>
  </si>
  <si>
    <t xml:space="preserve">State + Federal</t>
  </si>
  <si>
    <t xml:space="preserve">Church decline. Family fragmentation. Litigation replacing negotiation.</t>
  </si>
  <si>
    <t xml:space="preserve">LOW</t>
  </si>
  <si>
    <t xml:space="preserve">Federal dominant</t>
  </si>
  <si>
    <t xml:space="preserve">Every J and M claim routes through government. No voluntary option.</t>
  </si>
  <si>
    <t xml:space="preserve">VERY LOW</t>
  </si>
  <si>
    <t xml:space="preserve">Federal + platform coercion</t>
  </si>
  <si>
    <t xml:space="preserve">Digital adds new layer. Algorithmic cost-bearing with no opt-out.</t>
  </si>
  <si>
    <t xml:space="preserve">CRITICAL</t>
  </si>
  <si>
    <t xml:space="preserve">CONCRETE EXAMPLE: Marriage Disputes</t>
  </si>
  <si>
    <t xml:space="preserve">1950: Pastor + conversation (voluntary).</t>
  </si>
  <si>
    <t xml:space="preserve">2025: Lawyers + courts + custody evaluators + child support enforcement + federal tax code (coerced).</t>
  </si>
  <si>
    <t xml:space="preserve">The J-M-W demand went up. The voluntary cost-bearing went down. That's not opinion. That's measurable institutional overhead.</t>
  </si>
  <si>
    <t xml:space="preserve">NOVEL PROBLEMS — No Historical Baseline</t>
  </si>
  <si>
    <t xml:space="preserve">These issues have no prior solution to compare against. The question becomes:</t>
  </si>
  <si>
    <t xml:space="preserve">What configuration maximizes freedom while minimizing the J-M gap?</t>
  </si>
  <si>
    <t xml:space="preserve">Answer: The configuration that includes a voluntary cost-bearer.</t>
  </si>
  <si>
    <t xml:space="preserve">Novel Problem</t>
  </si>
  <si>
    <t xml:space="preserve">Key Question</t>
  </si>
  <si>
    <t xml:space="preserve">Who Bears the Cost?</t>
  </si>
  <si>
    <t xml:space="preserve">Voluntary or Coerced?</t>
  </si>
  <si>
    <t xml:space="preserve">AI job displacement</t>
  </si>
  <si>
    <t xml:space="preserve">Who pays when 50M jobs vanish?</t>
  </si>
  <si>
    <t xml:space="preserve">Genetic engineering</t>
  </si>
  <si>
    <t xml:space="preserve">Who bears the cost of unintended consequences?</t>
  </si>
  <si>
    <t xml:space="preserve">Digital identity / surveillance</t>
  </si>
  <si>
    <t xml:space="preserve">Who absorbs the cost of privacy loss?</t>
  </si>
  <si>
    <t xml:space="preserve">Algorithmic manipulation</t>
  </si>
  <si>
    <t xml:space="preserve">Who pays for attention exploitation?</t>
  </si>
  <si>
    <t xml:space="preserve">If nobody volunteers, the state coerces it through taxation.</t>
  </si>
  <si>
    <t xml:space="preserve">Coerced cost-bearing is not mercy. It's justice wearing mercy's clothes.</t>
  </si>
  <si>
    <t xml:space="preserve">α in R(offense, α) tells you WHO is paying and WHETHER they chose to.</t>
  </si>
  <si>
    <t xml:space="preserve">α RESOLVER — R(offense, α) Applied to America's 15 Fault Lines</t>
  </si>
  <si>
    <t xml:space="preserve">For each issue: Who is the offender? Is α applied to the actual offender? If not, the policy is collective punishment wearing justice's name.</t>
  </si>
  <si>
    <t xml:space="preserve">THE RULE</t>
  </si>
  <si>
    <t xml:space="preserve">α applies to the OFFENDER. Not the offender's class. Not their demographic. Not their descendants. Not people who MIGHT offend.</t>
  </si>
  <si>
    <t xml:space="preserve">Every political fight that can't resolve is a fight about applying justice to someone who isn't the offender.</t>
  </si>
  <si>
    <t xml:space="preserve">AGE AS LIVE FIGHT</t>
  </si>
  <si>
    <t xml:space="preserve">WHO IS THE OFFENDER?</t>
  </si>
  <si>
    <t xml:space="preserve">WHO DOES POLICY TARGET?</t>
  </si>
  <si>
    <t xml:space="preserve">α CORRECT?</t>
  </si>
  <si>
    <t xml:space="preserve">MATH SAYS</t>
  </si>
  <si>
    <t xml:space="preserve">RESOLVES?</t>
  </si>
  <si>
    <t xml:space="preserve">WHY / WHY NOT</t>
  </si>
  <si>
    <t xml:space="preserve">HISTORICALLY RESOLVED — Pattern is clear, lesson learned the hard way</t>
  </si>
  <si>
    <t xml:space="preserve">Death Penalty</t>
  </si>
  <si>
    <t xml:space="preserve">200+ years</t>
  </si>
  <si>
    <t xml:space="preserve">The murderer</t>
  </si>
  <si>
    <t xml:space="preserve">The murderer (correct target)</t>
  </si>
  <si>
    <t xml:space="preserve">YES, but α&gt;1</t>
  </si>
  <si>
    <t xml:space="preserve">α=1 was served by imprisonment. Death = α&gt;1 = vengeance.</t>
  </si>
  <si>
    <t xml:space="preserve">YES</t>
  </si>
  <si>
    <t xml:space="preserve">Trending abolition globally. Every mature democracy that abolished didn't go back.</t>
  </si>
  <si>
    <t xml:space="preserve">War / Military</t>
  </si>
  <si>
    <t xml:space="preserve">1,500+ years</t>
  </si>
  <si>
    <t xml:space="preserve">The aggressor</t>
  </si>
  <si>
    <t xml:space="preserve">The aggressor (correct target)</t>
  </si>
  <si>
    <t xml:space="preserve">α=1 on aggressor. Defense justified. Mercy constrains conduct.</t>
  </si>
  <si>
    <t xml:space="preserve">Just war doctrine. Resolved in principle, violated in practice.</t>
  </si>
  <si>
    <t xml:space="preserve">Economics</t>
  </si>
  <si>
    <t xml:space="preserve">100+ years</t>
  </si>
  <si>
    <t xml:space="preserve">The exploiter</t>
  </si>
  <si>
    <t xml:space="preserve">The entire wealthy class</t>
  </si>
  <si>
    <t xml:space="preserve">NO</t>
  </si>
  <si>
    <t xml:space="preserve">α on exploiter, not demographic. Redistribution = collective punishment.</t>
  </si>
  <si>
    <t xml:space="preserve">Pure capitalism and communism both failed. Mixed economies won by exhaustive failure.</t>
  </si>
  <si>
    <t xml:space="preserve">Race / Systemic Justice</t>
  </si>
  <si>
    <t xml:space="preserve">150+ years</t>
  </si>
  <si>
    <t xml:space="preserve">Historical: slaveholders. Current: the system</t>
  </si>
  <si>
    <t xml:space="preserve">Descendants / demographic</t>
  </si>
  <si>
    <t xml:space="preserve">MISAPPLIED</t>
  </si>
  <si>
    <t xml:space="preserve">Offenders dead. Descendants didn't offend. If SYSTEM offends, system pays.</t>
  </si>
  <si>
    <t xml:space="preserve">PARTIAL</t>
  </si>
  <si>
    <t xml:space="preserve">Core question (WHETHER) resolved. HOW question remains — system vs. demographic target.</t>
  </si>
  <si>
    <t xml:space="preserve">Religion in Public Life</t>
  </si>
  <si>
    <t xml:space="preserve">400+ years</t>
  </si>
  <si>
    <t xml:space="preserve">The imposer</t>
  </si>
  <si>
    <t xml:space="preserve">The imposer (correct target)</t>
  </si>
  <si>
    <t xml:space="preserve">α=1 on imposer. Practice is free will. Imposition is offense.</t>
  </si>
  <si>
    <t xml:space="preserve">Theocracy failed (J no W). State atheism failed (W no J/M). Separation won.</t>
  </si>
  <si>
    <t xml:space="preserve">Drugs</t>
  </si>
  <si>
    <t xml:space="preserve">50+ years</t>
  </si>
  <si>
    <t xml:space="preserve">User is offender AND victim</t>
  </si>
  <si>
    <t xml:space="preserve">The user (punished on top of self-punishment)</t>
  </si>
  <si>
    <t xml:space="preserve">User already paying via addiction. State adding punishment = α&gt;1.</t>
  </si>
  <si>
    <t xml:space="preserve">TRENDING</t>
  </si>
  <si>
    <t xml:space="preserve">Decrim + treatment winning globally. Portugal 25yr data. Mercy + free will.</t>
  </si>
  <si>
    <t xml:space="preserve">Education</t>
  </si>
  <si>
    <t xml:space="preserve">No offender (access question)</t>
  </si>
  <si>
    <t xml:space="preserve">N/A — content fight is derivative</t>
  </si>
  <si>
    <t xml:space="preserve">N/A</t>
  </si>
  <si>
    <t xml:space="preserve">Compulsory access resolved 150yr ago. Current fight = religion derivative.</t>
  </si>
  <si>
    <t xml:space="preserve">Access solved. Content debate is actually religion-in-public-life replayed.</t>
  </si>
  <si>
    <t xml:space="preserve">LIVE FIGHTS — Genuine fault lines, 50 years or less</t>
  </si>
  <si>
    <t xml:space="preserve">50 years</t>
  </si>
  <si>
    <t xml:space="preserve">UNDEFINED — depends on when existence carries full weight</t>
  </si>
  <si>
    <t xml:space="preserve">Both sides target the other side's existence claim</t>
  </si>
  <si>
    <t xml:space="preserve">UNRESOLVABLE</t>
  </si>
  <si>
    <t xml:space="preserve">Math can't resolve without a definition biology doesn't give.</t>
  </si>
  <si>
    <t xml:space="preserve">Genuine paradox. Both sides argue from A1.1. Neither is applying α to wrong target.</t>
  </si>
  <si>
    <t xml:space="preserve">Guns</t>
  </si>
  <si>
    <t xml:space="preserve">30 years</t>
  </si>
  <si>
    <t xml:space="preserve">The shooter</t>
  </si>
  <si>
    <t xml:space="preserve">All gun owners (class punishment)</t>
  </si>
  <si>
    <t xml:space="preserve">α=1 on the shooter. Restricting ownership = pre-crime α on non-offenders.</t>
  </si>
  <si>
    <t xml:space="preserve">Math resolves it. Policy applies α to wrong target. Technology outpaced the framework.</t>
  </si>
  <si>
    <t xml:space="preserve">Euthanasia</t>
  </si>
  <si>
    <t xml:space="preserve">20 years</t>
  </si>
  <si>
    <t xml:space="preserve">NO OFFENDER — no offense committed</t>
  </si>
  <si>
    <t xml:space="preserve">R(offense, α) requires an offense. No violation = free will governs.</t>
  </si>
  <si>
    <t xml:space="preserve">Not a justice question. Free will question. Unless someone else holds the switch.</t>
  </si>
  <si>
    <t xml:space="preserve">15 years</t>
  </si>
  <si>
    <t xml:space="preserve">Illegal crosser committed offense, BUT...</t>
  </si>
  <si>
    <t xml:space="preserve">People fleeing worse offense</t>
  </si>
  <si>
    <t xml:space="preserve">INVERTED</t>
  </si>
  <si>
    <t xml:space="preserve">α=1 on crosser is punishing someone fleeing a worse α. Victim, not offender.</t>
  </si>
  <si>
    <t xml:space="preserve">Globalization created movement at scale borders weren't designed for.</t>
  </si>
  <si>
    <t xml:space="preserve">Healthcare</t>
  </si>
  <si>
    <t xml:space="preserve">NO OFFENDER — getting sick isn't an offense</t>
  </si>
  <si>
    <t xml:space="preserve">The uninsured (punished for being sick)</t>
  </si>
  <si>
    <t xml:space="preserve">No offender = justice has no target. Only mercy applies.</t>
  </si>
  <si>
    <t xml:space="preserve">Math resolves: not a justice problem. Mercy question. Technology made it expensive.</t>
  </si>
  <si>
    <t xml:space="preserve">Gender / Sexuality / Trans</t>
  </si>
  <si>
    <t xml:space="preserve">10 years</t>
  </si>
  <si>
    <t xml:space="preserve">NO OFFENDER — sincere belief isn't offense</t>
  </si>
  <si>
    <t xml:space="preserve">People whose identity contradicts biology</t>
  </si>
  <si>
    <t xml:space="preserve">WRONG FRAME</t>
  </si>
  <si>
    <t xml:space="preserve">Error ≠ offense. Don't apply justice to error. Apply truth.</t>
  </si>
  <si>
    <t xml:space="preserve">NO*</t>
  </si>
  <si>
    <t xml:space="preserve">*Not a justice question at all. Truth question. Truth without love = cruelty.</t>
  </si>
  <si>
    <t xml:space="preserve">Climate</t>
  </si>
  <si>
    <t xml:space="preserve">The polluter</t>
  </si>
  <si>
    <t xml:space="preserve">The polluter (correct target)</t>
  </si>
  <si>
    <t xml:space="preserve">α=1 on polluter proportional to offense. Carbon tax is clean math.</t>
  </si>
  <si>
    <t xml:space="preserve">Resolves cleanly. Polluter pays. Timescale problem — justice is intergenerational.</t>
  </si>
  <si>
    <t xml:space="preserve">AI / Technology</t>
  </si>
  <si>
    <t xml:space="preserve">5 years</t>
  </si>
  <si>
    <t xml:space="preserve">NO OFFENSE YET — pre-emptive</t>
  </si>
  <si>
    <t xml:space="preserve">N/A — no stable definitions exist</t>
  </si>
  <si>
    <t xml:space="preserve">Math doesn't apply until there's a violation. Can't set α on nothing.</t>
  </si>
  <si>
    <t xml:space="preserve">Question doesn't have stable definitions yet. Framework applies once it does.</t>
  </si>
  <si>
    <t xml:space="preserve">Resolution Category</t>
  </si>
  <si>
    <t xml:space="preserve">Count</t>
  </si>
  <si>
    <t xml:space="preserve">Issues</t>
  </si>
  <si>
    <t xml:space="preserve">α applied correctly → RESOLVES</t>
  </si>
  <si>
    <t xml:space="preserve">Death penalty, War, Religion, Education, Guns, Euthanasia, Healthcare, Climate</t>
  </si>
  <si>
    <t xml:space="preserve">α applied to wrong target → STUCK</t>
  </si>
  <si>
    <t xml:space="preserve">Abortion (genuine paradox), Gender/Trans (wrong frame entirely), AI (no offense yet)</t>
  </si>
  <si>
    <t xml:space="preserve">Partially resolved / trending</t>
  </si>
  <si>
    <t xml:space="preserve">Race (system vs. demographic target), Immigration (victim not offender), Drugs (trending mercy)</t>
  </si>
  <si>
    <t xml:space="preserve">DIAGNOSTIC SUMMARY</t>
  </si>
  <si>
    <t xml:space="preserve">Issues where α is on the right target:</t>
  </si>
  <si>
    <t xml:space="preserve">of 15</t>
  </si>
  <si>
    <t xml:space="preserve">Issues applying α to wrong target:</t>
  </si>
  <si>
    <t xml:space="preserve">Issues that aren't justice questions at all:</t>
  </si>
  <si>
    <t xml:space="preserve">of 15 — applying justice where mercy, truth, or free will should govern</t>
  </si>
  <si>
    <t xml:space="preserve">THE CONCLUSION</t>
  </si>
  <si>
    <t xml:space="preserve">Most of American politics is applying α to everyone EXCEPT the actual offender.</t>
  </si>
  <si>
    <t xml:space="preserve">That's not justice. That's collective punishment wearing justice's name.</t>
  </si>
  <si>
    <t xml:space="preserve">Three categories of unresolved issues:</t>
  </si>
  <si>
    <t xml:space="preserve">  1. α on wrong target — the offender is identified but policy targets the class/demographic instead (Guns, Economics)</t>
  </si>
  <si>
    <t xml:space="preserve">  2. Wrong frame entirely — it's not a justice question, so α doesn't apply (Healthcare = mercy, Gender = truth, Euthanasia = free will)</t>
  </si>
  <si>
    <t xml:space="preserve">  3. Genuine paradox — the offender can't be identified because the definition is contested (Abortion: when does existence carry full moral weight?)</t>
  </si>
  <si>
    <t xml:space="preserve">Category 1 resolves immediately if you apply α to the actual offender.</t>
  </si>
  <si>
    <t xml:space="preserve">Category 2 resolves immediately if you stop applying justice and use the right tool (mercy, truth, free will).</t>
  </si>
  <si>
    <t xml:space="preserve">Category 3 is the real problem. These are genuine trilemmas. The math says: no resolution without a voluntary cost-bearer.</t>
  </si>
  <si>
    <t xml:space="preserve">THE CORRECTED JUSTICE OPERATOR</t>
  </si>
  <si>
    <t xml:space="preserve">The earlier version R(offense, α) was incomplete. The missing variable is WHO.</t>
  </si>
  <si>
    <t xml:space="preserve">CORRECTED FORM</t>
  </si>
  <si>
    <t xml:space="preserve">R( D, O, α, ν )</t>
  </si>
  <si>
    <t xml:space="preserve">Term</t>
  </si>
  <si>
    <t xml:space="preserve">Symbol</t>
  </si>
  <si>
    <t xml:space="preserve">Meaning</t>
  </si>
  <si>
    <t xml:space="preserve">Disorder / Debt / Damage</t>
  </si>
  <si>
    <t xml:space="preserve">D</t>
  </si>
  <si>
    <t xml:space="preserve">The real offense — not perceived, not political, not rhetorical. Actual measurable harm.</t>
  </si>
  <si>
    <t xml:space="preserve">Offender-Set</t>
  </si>
  <si>
    <t xml:space="preserve">O</t>
  </si>
  <si>
    <t xml:space="preserve">O = { i : i caused or participated in the offense with agency }. Only members of O carry liability.</t>
  </si>
  <si>
    <t xml:space="preserve">Payment Allocation</t>
  </si>
  <si>
    <t xml:space="preserve">α</t>
  </si>
  <si>
    <t xml:space="preserve">α=1: offender pays (justice). α=0: substitute pays (mercy). α=0 + judge=payer: the Cross.</t>
  </si>
  <si>
    <t xml:space="preserve">Voluntariness</t>
  </si>
  <si>
    <t xml:space="preserve">ν</t>
  </si>
  <si>
    <t xml:space="preserve">Was the substitute payment voluntary? If ν=0 (forced), new injustice is created.</t>
  </si>
  <si>
    <t xml:space="preserve">PAYMENT TAXONOMY — Who pays and what is it?</t>
  </si>
  <si>
    <t xml:space="preserve">Case</t>
  </si>
  <si>
    <t xml:space="preserve">Who Pays?</t>
  </si>
  <si>
    <t xml:space="preserve">What Is It?</t>
  </si>
  <si>
    <t xml:space="preserve">α / ν Values</t>
  </si>
  <si>
    <t xml:space="preserve">Actual offender pays</t>
  </si>
  <si>
    <t xml:space="preserve">Offender</t>
  </si>
  <si>
    <t xml:space="preserve">α=1, O=correct</t>
  </si>
  <si>
    <t xml:space="preserve">Volunteer pays for offender</t>
  </si>
  <si>
    <t xml:space="preserve">Substitute</t>
  </si>
  <si>
    <t xml:space="preserve">MERCY / GRACE</t>
  </si>
  <si>
    <t xml:space="preserve">α=0, ν=1</t>
  </si>
  <si>
    <t xml:space="preserve">Family absorbs cost</t>
  </si>
  <si>
    <t xml:space="preserve">Parent / Spouse / Kin</t>
  </si>
  <si>
    <t xml:space="preserve">COVENANTAL MERCY</t>
  </si>
  <si>
    <t xml:space="preserve">α=0, ν=1, covenantal</t>
  </si>
  <si>
    <t xml:space="preserve">Random society forced to pay</t>
  </si>
  <si>
    <t xml:space="preserve">Non-offenders under force</t>
  </si>
  <si>
    <t xml:space="preserve">COLLECTIVE PUNISHMENT</t>
  </si>
  <si>
    <t xml:space="preserve">α=0, ν=0 → new injustice</t>
  </si>
  <si>
    <t xml:space="preserve">Judge pays the debt</t>
  </si>
  <si>
    <t xml:space="preserve">The standard-setter</t>
  </si>
  <si>
    <t xml:space="preserve">THE CROSS</t>
  </si>
  <si>
    <t xml:space="preserve">α=0, ν=1, judge=payer</t>
  </si>
  <si>
    <t xml:space="preserve">CRITICAL DISTINCTIONS</t>
  </si>
  <si>
    <t xml:space="preserve">JUSTICE = truthful assignment of real cost to real offender.</t>
  </si>
  <si>
    <t xml:space="preserve">MERCY = voluntary cost-bearing by another without denying the debt.</t>
  </si>
  <si>
    <t xml:space="preserve">INJUSTICE = assigning cost to a non-offender.</t>
  </si>
  <si>
    <t xml:space="preserve">Universal neighbor-love does NOT imply universal guilt-liability.</t>
  </si>
  <si>
    <t xml:space="preserve">Neighbor-scope (mercy/love): neighbor = any person whose need confronts me. Can become universal.</t>
  </si>
  <si>
    <t xml:space="preserve">Justice-liability scope: liable payer = actual offender. NEVER universal.</t>
  </si>
  <si>
    <t xml:space="preserve">That single distinction prevents the framework from collapsing into collective punishment.</t>
  </si>
  <si>
    <t xml:space="preserve">CLAIM-TYPE TAXONOMY — Not all claims are justice claims</t>
  </si>
  <si>
    <t xml:space="preserve">Before asking "who offended?" ask "what kind of claim is being made?"</t>
  </si>
  <si>
    <t xml:space="preserve">Claim Type</t>
  </si>
  <si>
    <t xml:space="preserve">Example</t>
  </si>
  <si>
    <t xml:space="preserve">Framework Category</t>
  </si>
  <si>
    <t xml:space="preserve">Internal experience</t>
  </si>
  <si>
    <t xml:space="preserve">"I experience myself this way."</t>
  </si>
  <si>
    <t xml:space="preserve">Sincerity / Suffering / Identity</t>
  </si>
  <si>
    <t xml:space="preserve">Biological / ontological</t>
  </si>
  <si>
    <t xml:space="preserve">"My body is biologically X."</t>
  </si>
  <si>
    <t xml:space="preserve">Truth / Ontology</t>
  </si>
  <si>
    <t xml:space="preserve">Social recognition</t>
  </si>
  <si>
    <t xml:space="preserve">"Others should treat me as X."</t>
  </si>
  <si>
    <t xml:space="preserve">Relation / Mercy / Free Will</t>
  </si>
  <si>
    <t xml:space="preserve">Coercive demand</t>
  </si>
  <si>
    <t xml:space="preserve">"Others MUST affirm this or be punished."</t>
  </si>
  <si>
    <t xml:space="preserve">Justice / Free Will Conflict</t>
  </si>
  <si>
    <t xml:space="preserve">Harassment or harm</t>
  </si>
  <si>
    <t xml:space="preserve">"Someone attacked or excluded me unjustly."</t>
  </si>
  <si>
    <t xml:space="preserve">Actual Offense → R(D,O,α,ν) applies</t>
  </si>
  <si>
    <t xml:space="preserve">Sincere error is not the same thing as offense.</t>
  </si>
  <si>
    <t xml:space="preserve">If something is factually wrong, the first response is truth, not punishment.</t>
  </si>
  <si>
    <t xml:space="preserve">If someone coerces another's speech, body, conscience, privacy, or safety — THEN justice enters.</t>
  </si>
  <si>
    <t xml:space="preserve">Truth without love is cruelty. Love without truth is sentimentality. You need both.</t>
  </si>
  <si>
    <t xml:space="preserve">Existence of a lived phenomenon ≠ truth of every claim attached to it.</t>
  </si>
  <si>
    <t xml:space="preserve">That keeps you from both mistakes: denying sincere experience AND accepting every ontological claim as automatically true.</t>
  </si>
  <si>
    <t xml:space="preserve">CLEAN PAYMENT FORMULA</t>
  </si>
  <si>
    <t xml:space="preserve">Pᵢ = λᵢ·D  if i ∈ O    (offender pays proportional to participation)</t>
  </si>
  <si>
    <t xml:space="preserve">Pᵢ = 0      if i ∉ O    (non-offender owes NOTHING under justice)</t>
  </si>
  <si>
    <t xml:space="preserve">P_sub &gt; 0   if voluntary  (mercy)</t>
  </si>
  <si>
    <t xml:space="preserve">P_sub &gt; 0   if forced     (new injustice created)</t>
  </si>
  <si>
    <t xml:space="preserve">Σλᵢ = 1 for all i ∈ O. The debt distributes across actual offenders proportional to agency. No one else.</t>
  </si>
  <si>
    <t xml:space="preserve">CANONICAL EQUATIONS — Working Paper Reference</t>
  </si>
  <si>
    <t xml:space="preserve">The condensed mathematical canon of the framework. This is the formalism. Still being refined.</t>
  </si>
  <si>
    <t xml:space="preserve">1. MASTER ARCHITECTURE</t>
  </si>
  <si>
    <t xml:space="preserve">χ(W) = C_W · [ ∫_Ω ∏ᵢ Lᵢ(W,x) dΩ ]</t>
  </si>
  <si>
    <t xml:space="preserve">Plain reading:</t>
  </si>
  <si>
    <t xml:space="preserve">A world/system W becomes coherent only when its governing law-functions are rightly integrated.</t>
  </si>
  <si>
    <t xml:space="preserve">The coupling is MULTIPLICATIVE, not additive. If one law-domain collapses toward zero, total coherence degrades.</t>
  </si>
  <si>
    <t xml:space="preserve">This is not G+M+E+… . It is G·M·E·… . Any zero kills the product.</t>
  </si>
  <si>
    <t xml:space="preserve">Coherence function</t>
  </si>
  <si>
    <t xml:space="preserve">χ(W)</t>
  </si>
  <si>
    <t xml:space="preserve">Total coherence of world/system W</t>
  </si>
  <si>
    <t xml:space="preserve">Normalization constant</t>
  </si>
  <si>
    <t xml:space="preserve">C_W</t>
  </si>
  <si>
    <t xml:space="preserve">Ensures proper scaling</t>
  </si>
  <si>
    <t xml:space="preserve">Integration domain</t>
  </si>
  <si>
    <t xml:space="preserve">Ω</t>
  </si>
  <si>
    <t xml:space="preserve">The domain over which laws operate (spatial, temporal, ontological)</t>
  </si>
  <si>
    <t xml:space="preserve">Law-functions</t>
  </si>
  <si>
    <t xml:space="preserve">Lᵢ</t>
  </si>
  <si>
    <t xml:space="preserve">The 10 Laws: G·M·E·S·T·K·R·Q·F·… Each must be nonzero.</t>
  </si>
  <si>
    <t xml:space="preserve">2. DYNAMIC REPAIR EQUATION</t>
  </si>
  <si>
    <t xml:space="preserve">ć = β · O(t) · Γ_ext(t) · (1−ρ(t)) · (1−c) − σ(t) · c</t>
  </si>
  <si>
    <t xml:space="preserve">Coherence changes over time. It decays from disorder (σ·c) and is restored by an external grace source.</t>
  </si>
  <si>
    <t xml:space="preserve">Restoration requires: coupling (β), openness (O), grace supply (Γ), and non-resistance (1−ρ).</t>
  </si>
  <si>
    <t xml:space="preserve">If any one of these is zero, restoration halts. Multiplicative again.</t>
  </si>
  <si>
    <t xml:space="preserve">What kills it</t>
  </si>
  <si>
    <t xml:space="preserve">Coherence state</t>
  </si>
  <si>
    <t xml:space="preserve">c</t>
  </si>
  <si>
    <t xml:space="preserve">Current coherence level (0 to 1)</t>
  </si>
  <si>
    <t xml:space="preserve">—</t>
  </si>
  <si>
    <t xml:space="preserve">Rate of change</t>
  </si>
  <si>
    <t xml:space="preserve">ć</t>
  </si>
  <si>
    <t xml:space="preserve">How fast coherence is changing</t>
  </si>
  <si>
    <t xml:space="preserve">Coupling efficiency</t>
  </si>
  <si>
    <t xml:space="preserve">β</t>
  </si>
  <si>
    <t xml:space="preserve">How well the agent connects to the source</t>
  </si>
  <si>
    <t xml:space="preserve">β=0: decoupled. Grace available but not received.</t>
  </si>
  <si>
    <t xml:space="preserve">Openness / Reception</t>
  </si>
  <si>
    <t xml:space="preserve">O(t)</t>
  </si>
  <si>
    <t xml:space="preserve">Agent's willingness to receive</t>
  </si>
  <si>
    <t xml:space="preserve">O=0: closed. No reception regardless of supply.</t>
  </si>
  <si>
    <t xml:space="preserve">External grace source</t>
  </si>
  <si>
    <t xml:space="preserve">Γ_ext(t)</t>
  </si>
  <si>
    <t xml:space="preserve">Grace supplied from outside the system</t>
  </si>
  <si>
    <t xml:space="preserve">Γ=0: no external source. System can't self-repair.</t>
  </si>
  <si>
    <t xml:space="preserve">Resistance / Refusal</t>
  </si>
  <si>
    <t xml:space="preserve">1−ρ(t)</t>
  </si>
  <si>
    <t xml:space="preserve">How much grace gets through (throttled by refusal)</t>
  </si>
  <si>
    <t xml:space="preserve">ρ=1: total resistance. Grace fully blocked.</t>
  </si>
  <si>
    <t xml:space="preserve">Remaining incoherence</t>
  </si>
  <si>
    <t xml:space="preserve">1−c</t>
  </si>
  <si>
    <t xml:space="preserve">Recoverable disorder still present</t>
  </si>
  <si>
    <t xml:space="preserve">c=1: fully coherent. Nothing left to repair.</t>
  </si>
  <si>
    <t xml:space="preserve">Decay / Entropy</t>
  </si>
  <si>
    <t xml:space="preserve">σ(t)·c</t>
  </si>
  <si>
    <t xml:space="preserve">Sin/disorder/entropy degrades existing coherence</t>
  </si>
  <si>
    <t xml:space="preserve">Always positive. Coherence decays without maintenance.</t>
  </si>
  <si>
    <t xml:space="preserve">3. GRACE AS OPERATOR</t>
  </si>
  <si>
    <t xml:space="preserve">𝒢_Γ : ψ_broken ↦ ψ_restored</t>
  </si>
  <si>
    <t xml:space="preserve">Grace is not a substance. It is a conversion operation. It moves a damaged state toward a restored state.</t>
  </si>
  <si>
    <t xml:space="preserve">It is "what the energy does" — not a spiritual fluid.</t>
  </si>
  <si>
    <t xml:space="preserve">Full form:</t>
  </si>
  <si>
    <t xml:space="preserve">𝒢_Γ(ψ, D, J, M) → ψ′</t>
  </si>
  <si>
    <t xml:space="preserve">Grace converts a disorder-marked state (ψ_D) into a coherence-restored state (ψ_C)</t>
  </si>
  <si>
    <t xml:space="preserve">without falsifying truth, justice, or mercy.</t>
  </si>
  <si>
    <t xml:space="preserve">4. CORRECTED JUSTICE OPERATOR</t>
  </si>
  <si>
    <t xml:space="preserve">D = real disorder/debt/offense</t>
  </si>
  <si>
    <t xml:space="preserve">O = actual offender-set { i : i caused or participated with agency }</t>
  </si>
  <si>
    <t xml:space="preserve">α = payment allocation (α=1 offender pays, α=0 substitute pays)</t>
  </si>
  <si>
    <t xml:space="preserve">ν = voluntariness of substitute payment (ν=1 voluntary, ν=0 forced)</t>
  </si>
  <si>
    <t xml:space="preserve">Hard rules:</t>
  </si>
  <si>
    <t xml:space="preserve">  • Justice holds ONLY IF cost is assigned to O.</t>
  </si>
  <si>
    <t xml:space="preserve">  • Mercy holds ONLY IF substitute payment is voluntary (ν=1).</t>
  </si>
  <si>
    <t xml:space="preserve">  • Grace holds when external cost-bearing repairs D without falsifying truth or coercing will.</t>
  </si>
  <si>
    <t xml:space="preserve">  • If ν=0 (forced payment by non-offender), NEW INJUSTICE is created.</t>
  </si>
  <si>
    <t xml:space="preserve">5. THE NESTED STRUCTURE</t>
  </si>
  <si>
    <t xml:space="preserve">These are not five separate equations. They are one dependency chain:</t>
  </si>
  <si>
    <t xml:space="preserve">Layer</t>
  </si>
  <si>
    <t xml:space="preserve">Role</t>
  </si>
  <si>
    <t xml:space="preserve">What happens if absent</t>
  </si>
  <si>
    <t xml:space="preserve">LOVE (outermost)</t>
  </si>
  <si>
    <t xml:space="preserve">ℒ</t>
  </si>
  <si>
    <t xml:space="preserve">The field. Not a variable to optimize. The manifold all equations run in.</t>
  </si>
  <si>
    <t xml:space="preserve">No field → no domain for grace to operate in. Everything collapses.</t>
  </si>
  <si>
    <t xml:space="preserve">GRACE</t>
  </si>
  <si>
    <t xml:space="preserve">𝒢_Γ</t>
  </si>
  <si>
    <t xml:space="preserve">The operation inside love. Converts broken to restored.</t>
  </si>
  <si>
    <t xml:space="preserve">No grace → no mechanism for mercy that preserves justice.</t>
  </si>
  <si>
    <t xml:space="preserve">JUSTICE + MERCY</t>
  </si>
  <si>
    <t xml:space="preserve">R(D,O,α,ν)</t>
  </si>
  <si>
    <t xml:space="preserve">Simultaneous max only when judge = payer.</t>
  </si>
  <si>
    <t xml:space="preserve">No judge-who-pays → justice and mercy contradict forever.</t>
  </si>
  <si>
    <t xml:space="preserve">FAITH</t>
  </si>
  <si>
    <t xml:space="preserve">The coupling constant. Connects agent to grace field.</t>
  </si>
  <si>
    <t xml:space="preserve">No faith → agent decoupled. Grace available but not received.</t>
  </si>
  <si>
    <t xml:space="preserve">1−ρ</t>
  </si>
  <si>
    <t xml:space="preserve">Agent's capacity to resist or accept. Must be real.</t>
  </si>
  <si>
    <t xml:space="preserve">No free will → faith is meaningless. Coupling is forced.</t>
  </si>
  <si>
    <t xml:space="preserve">CONSERVATION</t>
  </si>
  <si>
    <t xml:space="preserve">dS_m/dt</t>
  </si>
  <si>
    <t xml:space="preserve">The moral ledger. Entropy production minus grace work.</t>
  </si>
  <si>
    <t xml:space="preserve">Ledger never closes without external source term.</t>
  </si>
  <si>
    <t xml:space="preserve">Pull any layer and everything above it collapses.</t>
  </si>
  <si>
    <t xml:space="preserve">That is not philosophy. That is the dependency chain in the math.</t>
  </si>
  <si>
    <t xml:space="preserve">STATUS</t>
  </si>
  <si>
    <t xml:space="preserve">This is a working paper reference. The formalism is still being refined.</t>
  </si>
  <si>
    <t xml:space="preserve">We are not claiming we can cleanly distinguish all of this. We are claiming the structure is real and the math constrains it.</t>
  </si>
  <si>
    <t xml:space="preserve">"We're not God, but there IS a proper way to do this. We just haven't fully found it yet."</t>
  </si>
  <si>
    <t xml:space="preserve">The salvation equation is not a standalone proof. It is the time-evolution form AFTER the external-source</t>
  </si>
  <si>
    <t xml:space="preserve">necessity argument has already been established.</t>
  </si>
  <si>
    <t xml:space="preserve">THE IMPOSSIBILITY PROOF — Why J + M + W = 3 Cannot Exist in a Closed System</t>
  </si>
  <si>
    <t xml:space="preserve">This is algebra, CONDITIONAL on the definitions below (J = full victim restoration, M = full offender relief, strong budget balance). The definitions are the falsification surface: to escape the theorem you must weaken a definition — then defend a justice that leaves victims unrestored, or a mercy that leaves offenders paying, as the TRUE concept.</t>
  </si>
  <si>
    <t xml:space="preserve">§ 1. THE ALGEBRAIC IMPOSSIBILITY</t>
  </si>
  <si>
    <t xml:space="preserve">SETUP</t>
  </si>
  <si>
    <t xml:space="preserve">D &gt; 0 = real damage/debt/liability borne by Agent A due to actions of Agent B.</t>
  </si>
  <si>
    <t xml:space="preserve">A mechanism designer must resolve this state using transfers T_A (to victim) and T_B (from offender).</t>
  </si>
  <si>
    <t xml:space="preserve">Variable</t>
  </si>
  <si>
    <t xml:space="preserve">Definition</t>
  </si>
  <si>
    <t xml:space="preserve">Formula</t>
  </si>
  <si>
    <t xml:space="preserve">Full satisfaction requires</t>
  </si>
  <si>
    <t xml:space="preserve">Justice (J)</t>
  </si>
  <si>
    <t xml:space="preserve">Victim made whole</t>
  </si>
  <si>
    <t xml:space="preserve">J = T_A / D</t>
  </si>
  <si>
    <t xml:space="preserve">J = 1  →  T_A = D</t>
  </si>
  <si>
    <t xml:space="preserve">Mercy (M)</t>
  </si>
  <si>
    <t xml:space="preserve">Offender relieved of debt</t>
  </si>
  <si>
    <t xml:space="preserve">M = 1 − T_B / D</t>
  </si>
  <si>
    <t xml:space="preserve">M = 1  →  T_B = 0</t>
  </si>
  <si>
    <t xml:space="preserve">Free Will (W)</t>
  </si>
  <si>
    <t xml:space="preserve">Both participate voluntarily</t>
  </si>
  <si>
    <t xml:space="preserve">W = min(W_A, W_B)</t>
  </si>
  <si>
    <t xml:space="preserve">W = 1  →  IR holds for both agents</t>
  </si>
  <si>
    <t xml:space="preserve">THE PROOF</t>
  </si>
  <si>
    <t xml:space="preserve">Step 1: Closed system constraint (Strong Budget Balance)</t>
  </si>
  <si>
    <t xml:space="preserve">In a closed system, no external money enters. Therefore: T_A = T_B.</t>
  </si>
  <si>
    <t xml:space="preserve">Step 2: Substitute definitions</t>
  </si>
  <si>
    <t xml:space="preserve">J · D = (1 − M) · D</t>
  </si>
  <si>
    <t xml:space="preserve">Step 3: Cancel D (D &gt; 0)</t>
  </si>
  <si>
    <t xml:space="preserve">J = 1 − M</t>
  </si>
  <si>
    <t xml:space="preserve">Step 4: Therefore</t>
  </si>
  <si>
    <t xml:space="preserve">J + M = 1      ← THIS IS THE HARD CONSTRAINT</t>
  </si>
  <si>
    <t xml:space="preserve">Any increase in Justice requires an exactly equal decrease in Mercy. And vice versa.</t>
  </si>
  <si>
    <t xml:space="preserve">This is not a trade-off you can negotiate. It is arithmetic.</t>
  </si>
  <si>
    <t xml:space="preserve">Step 5: What Free Will requires (baseline case: self-interested agents)</t>
  </si>
  <si>
    <t xml:space="preserve">Under pure self-interest, Agent A (victim) participates voluntarily only if J = 1 (fully compensated).</t>
  </si>
  <si>
    <t xml:space="preserve">Under pure self-interest, Agent B (offender) participates voluntarily only if M = 1 (pays nothing).</t>
  </si>
  <si>
    <t xml:space="preserve">But J + M = 1. You cannot have J=1 AND M=1. QED for self-interested agents. For altruistic agents, see §9 — the result survives, in stronger form.</t>
  </si>
  <si>
    <t xml:space="preserve">§ 2. THE CONSTRAINT SURFACE — Try It Yourself</t>
  </si>
  <si>
    <t xml:space="preserve">Enter any value for J between 0 and 1. The sheet will show what M and W must be.</t>
  </si>
  <si>
    <t xml:space="preserve">Justice (J) ← YOUR INPUT</t>
  </si>
  <si>
    <t xml:space="preserve">Mercy (M) = 1 − J</t>
  </si>
  <si>
    <t xml:space="preserve">J + M check</t>
  </si>
  <si>
    <t xml:space="preserve">← Always equals 1. Always.</t>
  </si>
  <si>
    <t xml:space="preserve">Victim's IR satisfied? (needs J=1)</t>
  </si>
  <si>
    <t xml:space="preserve">Offender's IR satisfied? (needs M=1)</t>
  </si>
  <si>
    <t xml:space="preserve">Free Will (W) = both satisfied?</t>
  </si>
  <si>
    <t xml:space="preserve">§ 3. ALL POSSIBLE POSITIONS IN A CLOSED SYSTEM (a continuum, not three points)</t>
  </si>
  <si>
    <t xml:space="preserve">J + M = 1 is a LINE: two pure endpoints and infinitely many cost-splits between them. Three QUALITATIVE REGIMES exist on it (justice-dominant, mercy-dominant, mixed). The fourth row below is not on the line at all — that is the point.</t>
  </si>
  <si>
    <t xml:space="preserve">Every closed-system position lives ON the line. The resolution (J=1, M=1) lives OFF the line — reachable only if an external party absorbs the deficit.</t>
  </si>
  <si>
    <t xml:space="preserve">Position</t>
  </si>
  <si>
    <t xml:space="preserve">What is sacrificed</t>
  </si>
  <si>
    <t xml:space="preserve">Full Justice + Full Free Will</t>
  </si>
  <si>
    <t xml:space="preserve">W_A only</t>
  </si>
  <si>
    <t xml:space="preserve">Mercy = 0. Offender pays everything. Offender's IR violated.</t>
  </si>
  <si>
    <t xml:space="preserve">Full Mercy + Full Free Will</t>
  </si>
  <si>
    <t xml:space="preserve">W_B only</t>
  </si>
  <si>
    <t xml:space="preserve">Justice = 0. Victim absorbs everything. Victim's IR violated.</t>
  </si>
  <si>
    <t xml:space="preserve">Mixed regime (any split, 0&lt;J&lt;1)</t>
  </si>
  <si>
    <t xml:space="preserve">Both IR violated under self-interest. Every point on the line between the endpoints belongs to this regime.</t>
  </si>
  <si>
    <t xml:space="preserve">Full J + Full M + Full W</t>
  </si>
  <si>
    <t xml:space="preserve">✗ IMPOSSIBLE. J+M=2 violates SBB. Requires external subsidizer.</t>
  </si>
  <si>
    <t xml:space="preserve">Every political argument is a fight over WHERE ON THE LINE to sit. The line itself is never questioned.</t>
  </si>
  <si>
    <t xml:space="preserve">The "compassionate" position sacrifices Justice. The "tough" position sacrifices Mercy. The "compromise" coerces everyone.</t>
  </si>
  <si>
    <t xml:space="preserve">§ 4. ESTABLISHED IMPOSSIBILITY THEOREMS — STRUCTURAL PRECEDENTS (analogues, not identity)</t>
  </si>
  <si>
    <t xml:space="preserve">These proven theorems do NOT individually prove the theological trilemma. They establish the pattern class: desirable properties become jointly impossible under closure + budget balance. This trilemma is an independent instance of that class, derived from its own definitions.</t>
  </si>
  <si>
    <t xml:space="preserve">Theorem</t>
  </si>
  <si>
    <t xml:space="preserve">Year</t>
  </si>
  <si>
    <t xml:space="preserve">What it proves</t>
  </si>
  <si>
    <t xml:space="preserve">Trilemma mapping</t>
  </si>
  <si>
    <t xml:space="preserve">Myerson-Satterthwaite</t>
  </si>
  <si>
    <t xml:space="preserve">No mechanism achieves efficiency + IR + budget balance under asymmetric info</t>
  </si>
  <si>
    <t xml:space="preserve">J + W = impossible without M (subsidy)</t>
  </si>
  <si>
    <t xml:space="preserve">Green-Laffont</t>
  </si>
  <si>
    <t xml:space="preserve">No mechanism achieves efficiency + DSIC + SBB in rich domains</t>
  </si>
  <si>
    <t xml:space="preserve">J + W = impossible without M (even for n agents)</t>
  </si>
  <si>
    <t xml:space="preserve">Sen's Liberal Paradox</t>
  </si>
  <si>
    <t xml:space="preserve">Pareto optimality + individual decisiveness = impossible</t>
  </si>
  <si>
    <t xml:space="preserve">Rights + Pareto conflict — structural analogue of J vs. W</t>
  </si>
  <si>
    <t xml:space="preserve">Arrow's Impossibility</t>
  </si>
  <si>
    <t xml:space="preserve">No ranked voting system satisfies all fairness criteria</t>
  </si>
  <si>
    <t xml:space="preserve">Collective J cannot aggregate individual W coherently</t>
  </si>
  <si>
    <t xml:space="preserve">These theorems are independent of each other and converge on the same pattern class from different domains.</t>
  </si>
  <si>
    <t xml:space="preserve">The support is by structural correspondence — strong, but correspondence, not identity. The trilemma stands or falls on §1, not on these citations.</t>
  </si>
  <si>
    <t xml:space="preserve">§ 5. THE ONLY MATHEMATICAL RESOLUTION</t>
  </si>
  <si>
    <t xml:space="preserve">Open the system. Introduce a third-party subsidizer T who voluntarily absorbs the deficit.</t>
  </si>
  <si>
    <t xml:space="preserve">For T to participate voluntarily (W_T = 1), T must derive utility from systemic coherence.</t>
  </si>
  <si>
    <t xml:space="preserve">The altruistic utility function:</t>
  </si>
  <si>
    <t xml:space="preserve">U_T = k [ w_T + ρ · w_−T ] − Γ</t>
  </si>
  <si>
    <t xml:space="preserve">Private valuation</t>
  </si>
  <si>
    <t xml:space="preserve">w_T</t>
  </si>
  <si>
    <t xml:space="preserve">T's own baseline utility from the transaction</t>
  </si>
  <si>
    <t xml:space="preserve">Altruism coefficient</t>
  </si>
  <si>
    <t xml:space="preserve">ρ</t>
  </si>
  <si>
    <t xml:space="preserve">How much T weights the welfare of others. ρ ∈ [0,1].</t>
  </si>
  <si>
    <t xml:space="preserve">Others' welfare</t>
  </si>
  <si>
    <t xml:space="preserve">w_−T</t>
  </si>
  <si>
    <t xml:space="preserve">Aggregate utility of agents A and B.</t>
  </si>
  <si>
    <t xml:space="preserve">Subsidy cost</t>
  </si>
  <si>
    <t xml:space="preserve">Γ</t>
  </si>
  <si>
    <t xml:space="preserve">The cost T pays to balance the budget. Opens the system.</t>
  </si>
  <si>
    <t xml:space="preserve">T participates voluntarily if and only if:</t>
  </si>
  <si>
    <t xml:space="preserve">ρ · w_−T  ≥  Γ</t>
  </si>
  <si>
    <t xml:space="preserve">The subjectively discounted value of restoring the system must exceed the cost of the subsidy.</t>
  </si>
  <si>
    <t xml:space="preserve">§ 6. SOCIAL DISCOUNTING — Why Distance Kills Mercy</t>
  </si>
  <si>
    <t xml:space="preserve">The willingness to subsidize decays with social distance. Three models from the literature:</t>
  </si>
  <si>
    <t xml:space="preserve">Model</t>
  </si>
  <si>
    <t xml:space="preserve">Behavior</t>
  </si>
  <si>
    <t xml:space="preserve">Best fit for</t>
  </si>
  <si>
    <t xml:space="preserve">Exponential</t>
  </si>
  <si>
    <t xml:space="preserve">v = V · exp(−kN)</t>
  </si>
  <si>
    <t xml:space="preserve">Constant discount rate. Smooth decay.</t>
  </si>
  <si>
    <t xml:space="preserve">Underestimates close, overestimates far</t>
  </si>
  <si>
    <t xml:space="preserve">Hyperbolic</t>
  </si>
  <si>
    <t xml:space="preserve">v = V / (1 + kN)</t>
  </si>
  <si>
    <t xml:space="preserve">Fast initial drop, then levels off.</t>
  </si>
  <si>
    <t xml:space="preserve">Social discounting of GAINS</t>
  </si>
  <si>
    <t xml:space="preserve">Tsallis q-exponential</t>
  </si>
  <si>
    <t xml:space="preserve">v = V / [1+(1−q)kN]^(1/(1−q))</t>
  </si>
  <si>
    <t xml:space="preserve">Interpersonal inconsistency (q&lt;1).</t>
  </si>
  <si>
    <t xml:space="preserve">Social discounting of LOSSES</t>
  </si>
  <si>
    <t xml:space="preserve">N = social distance. k = discount rate. V = undiscounted value of relief to recipient.</t>
  </si>
  <si>
    <t xml:space="preserve">This is why your Coherence Index works.</t>
  </si>
  <si>
    <t xml:space="preserve">Family (N≈0) can absorb costs that strangers (N→∞) cannot. The math predicts it.</t>
  </si>
  <si>
    <t xml:space="preserve">Your social radii (Family → Community → State → Federal) are a social distance gradient.</t>
  </si>
  <si>
    <t xml:space="preserve">As N increases, ρ decreases, and the subsidy becomes involuntary → coercion → new injustice.</t>
  </si>
  <si>
    <t xml:space="preserve">§ 7. THE SECOND-BEST BOUND — How Much You Lose Without a Subsidizer</t>
  </si>
  <si>
    <t xml:space="preserve">Without an external subsidizer, the best possible mechanism captures at most HALF the ideal.</t>
  </si>
  <si>
    <t xml:space="preserve">Benchmark</t>
  </si>
  <si>
    <t xml:space="preserve">Constraints</t>
  </si>
  <si>
    <t xml:space="preserve">Performance</t>
  </si>
  <si>
    <t xml:space="preserve">Translation</t>
  </si>
  <si>
    <t xml:space="preserve">First-Best (FB)</t>
  </si>
  <si>
    <t xml:space="preserve">IC + IR. Fails SBB (needs subsidy).</t>
  </si>
  <si>
    <t xml:space="preserve">Full J + full W. Requires Mercy (external Γ).</t>
  </si>
  <si>
    <t xml:space="preserve">Second-Best (SB)</t>
  </si>
  <si>
    <t xml:space="preserve">IC + IR + SBB. No external money.</t>
  </si>
  <si>
    <t xml:space="preserve">≥ 50%</t>
  </si>
  <si>
    <t xml:space="preserve">Best you can do without a subsidizer. Proven tight.</t>
  </si>
  <si>
    <t xml:space="preserve">Fixed-Price</t>
  </si>
  <si>
    <t xml:space="preserve">DSIC + IR + SBB.</t>
  </si>
  <si>
    <t xml:space="preserve">Varies</t>
  </si>
  <si>
    <t xml:space="preserve">Simple but crude. Many beneficial trades lost.</t>
  </si>
  <si>
    <t xml:space="preserve">The ½ bound is TIGHT. For specific distributions, no mechanism recovers more than 50%.</t>
  </si>
  <si>
    <t xml:space="preserve">You permanently sacrifice half the ideal to maintain a closed system. That is the mathematical cost of refusing mercy.</t>
  </si>
  <si>
    <t xml:space="preserve">§ 8. THE CONVERGENCE</t>
  </si>
  <si>
    <t xml:space="preserve">The mechanism design proof and the theological claim make the same structural argument:</t>
  </si>
  <si>
    <t xml:space="preserve">Mechanism Design</t>
  </si>
  <si>
    <t xml:space="preserve">Framework</t>
  </si>
  <si>
    <t xml:space="preserve">J + M = 1 in closed system</t>
  </si>
  <si>
    <t xml:space="preserve">Justice and Mercy cannot coexist without external cost-bearer</t>
  </si>
  <si>
    <t xml:space="preserve">Requires external subsidizer T with ρ &gt; 0</t>
  </si>
  <si>
    <t xml:space="preserve">Requires voluntary grace from outside the system</t>
  </si>
  <si>
    <t xml:space="preserve">T pays Γ voluntarily (ν=1)</t>
  </si>
  <si>
    <t xml:space="preserve">Cost-bearer must choose freely. Forced = new injustice.</t>
  </si>
  <si>
    <t xml:space="preserve">T must derive utility from systemic coherence</t>
  </si>
  <si>
    <t xml:space="preserve">The subsidizer must love the system enough to pay the debt</t>
  </si>
  <si>
    <t xml:space="preserve">The special case: judge = subsidizer</t>
  </si>
  <si>
    <t xml:space="preserve">The Cross. The standard-setter pays the debt.</t>
  </si>
  <si>
    <t xml:space="preserve">Only resolution where J=1, M=1, W=1</t>
  </si>
  <si>
    <t xml:space="preserve">Only resolution where justice, mercy, and free will all hold simultaneously</t>
  </si>
  <si>
    <t xml:space="preserve">The math does not require you to believe in God.</t>
  </si>
  <si>
    <t xml:space="preserve">The math requires you to believe that a closed system cannot solve its own justice problem.</t>
  </si>
  <si>
    <t xml:space="preserve">And that the only exit is a voluntary external cost-bearer who values systemic coherence above personal cost.</t>
  </si>
  <si>
    <t xml:space="preserve">Whether that entity exists is a different question. That it must exist for the trilemma to resolve is algebra.</t>
  </si>
  <si>
    <t xml:space="preserve">§ 9. THE ALTRUISM OBJECTION — AND THE LEMMA THAT CLOSES IT</t>
  </si>
  <si>
    <t xml:space="preserve">Objection (correct as far as it goes): real agents are not purely self-interested. A victim can voluntarily forgive. An offender can voluntarily pay. So free will does NOT strictly require J=1 and M=1.</t>
  </si>
  <si>
    <t xml:space="preserve">Response: grant it fully. Then track what each act of INTERNAL altruism does to the ledger.</t>
  </si>
  <si>
    <t xml:space="preserve">Internal altruism case</t>
  </si>
  <si>
    <t xml:space="preserve">Ledger effect</t>
  </si>
  <si>
    <t xml:space="preserve">Where you land</t>
  </si>
  <si>
    <t xml:space="preserve">Victim forgives (absorbs share f of D)</t>
  </si>
  <si>
    <t xml:space="preserve">T_A = (1−f)·D → J = 1−f &lt; 1</t>
  </si>
  <si>
    <t xml:space="preserve">ON the line. Victim bears the deficit.</t>
  </si>
  <si>
    <t xml:space="preserve">Offender voluntarily pays in full</t>
  </si>
  <si>
    <t xml:space="preserve">T_B = D → M = 0</t>
  </si>
  <si>
    <t xml:space="preserve">ON the line (justice endpoint). Offender bears it.</t>
  </si>
  <si>
    <t xml:space="preserve">Both split voluntarily</t>
  </si>
  <si>
    <t xml:space="preserve">J &lt; 1 and M &lt; 1</t>
  </si>
  <si>
    <t xml:space="preserve">ON the line (mixed regime). Cost shared, not retired.</t>
  </si>
  <si>
    <t xml:space="preserve">External party absorbs full D (voluntarily, ν=1)</t>
  </si>
  <si>
    <t xml:space="preserve">T_A = D and T_B = 0 → J = 1 AND M = 1</t>
  </si>
  <si>
    <t xml:space="preserve">OFF the line. Only exit.</t>
  </si>
  <si>
    <t xml:space="preserve">LEMMA (Symmetric Altruism): Altruism by any party inside the offense ledger changes WHO bears the deficit; it never eliminates the deficit. Internal love moves you ALONG the constraint line. Only a party holding no position in the ledger can move the system OFF it.</t>
  </si>
  <si>
    <t xml:space="preserve">Corollary: forgiveness is real and voluntary — and it is the victim paying. Grace is not "forgiveness scaled up." Grace is the deficit leaving the ledger entirely.</t>
  </si>
  <si>
    <t xml:space="preserve">One sentence: love inside the system redistributes the cost; love outside the system retires it.</t>
  </si>
  <si>
    <t xml:space="preserve">Interactive check — victim forgiveness share f:</t>
  </si>
  <si>
    <t xml:space="preserve">Forgiveness share f ← YOUR INPUT (0 to 1)</t>
  </si>
  <si>
    <t xml:space="preserve">Resulting Justice J = 1 − f</t>
  </si>
  <si>
    <t xml:space="preserve">Off the line? (needs J=1 AND M=1)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</si>
</sst>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General"/>
    <numFmt numFmtId="167" formatCode="\$#,##0"/>
    <numFmt numFmtId="168" formatCode="\$#,##0;&quot;($&quot;#,##0\);\-"/>
    <numFmt numFmtId="169" formatCode="0.00\x"/>
    <numFmt numFmtId="170" formatCode="0.0%"/>
    <numFmt numFmtId="171" formatCode="0.0"/>
    <numFmt numFmtId="172" formatCode="#,##0"/>
    <numFmt numFmtId="173" formatCode="0%"/>
  </numFmts>
  <fonts count="7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ptos Narrow"/>
      <family val="2"/>
      <charset val="1"/>
    </font>
    <font>
      <b val="true"/>
      <sz val="11"/>
      <color rgb="FF555555"/>
      <name val="Aptos Narrow"/>
      <family val="2"/>
      <charset val="1"/>
    </font>
    <font>
      <b val="true"/>
      <sz val="11"/>
      <color rgb="FF1A1A2E"/>
      <name val="Aptos Narrow"/>
      <family val="2"/>
      <charset val="1"/>
    </font>
    <font>
      <b val="true"/>
      <sz val="12"/>
      <color rgb="FF1A1A2E"/>
      <name val="Aptos Narrow"/>
      <family val="2"/>
      <charset val="1"/>
    </font>
    <font>
      <i val="true"/>
      <sz val="11"/>
      <color rgb="FF0000FF"/>
      <name val="Aptos Narrow"/>
      <family val="2"/>
      <charset val="1"/>
    </font>
    <font>
      <b val="true"/>
      <sz val="11"/>
      <color rgb="FFFFFFFF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4"/>
      <color rgb="FF1A1A2E"/>
      <name val="Aptos Narrow"/>
      <family val="2"/>
      <charset val="1"/>
    </font>
    <font>
      <i val="true"/>
      <sz val="10"/>
      <color rgb="FF666666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C0392B"/>
      <name val="Aptos Narrow"/>
      <family val="2"/>
      <charset val="1"/>
    </font>
    <font>
      <sz val="11"/>
      <color rgb="FF0000FF"/>
      <name val="Aptos Narrow"/>
      <family val="2"/>
      <charset val="1"/>
    </font>
    <font>
      <b val="true"/>
      <sz val="10"/>
      <color rgb="FFC0392B"/>
      <name val="Aptos Narrow"/>
      <family val="2"/>
      <charset val="1"/>
    </font>
    <font>
      <b val="true"/>
      <sz val="10"/>
      <color rgb="FF2980B9"/>
      <name val="Aptos Narrow"/>
      <family val="2"/>
      <charset val="1"/>
    </font>
    <font>
      <b val="true"/>
      <sz val="10"/>
      <color rgb="FF27AE60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4"/>
      <color rgb="FFFFFFFF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i val="true"/>
      <sz val="10"/>
      <color theme="1"/>
      <name val="Aptos Narrow"/>
      <family val="2"/>
      <charset val="1"/>
    </font>
    <font>
      <sz val="10"/>
      <name val="Arial"/>
      <family val="2"/>
    </font>
    <font>
      <b val="true"/>
      <sz val="16"/>
      <color rgb="FF1A1A2E"/>
      <name val="Aptos Narrow"/>
      <family val="2"/>
      <charset val="1"/>
    </font>
    <font>
      <b val="true"/>
      <sz val="11"/>
      <color rgb="FF2980B9"/>
      <name val="Aptos Narrow"/>
      <family val="2"/>
      <charset val="1"/>
    </font>
    <font>
      <b val="true"/>
      <sz val="11"/>
      <color rgb="FF27AE60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b val="true"/>
      <i val="true"/>
      <sz val="10"/>
      <color rgb="FF999999"/>
      <name val="Aptos Narrow"/>
      <family val="2"/>
      <charset val="1"/>
    </font>
    <font>
      <i val="true"/>
      <sz val="11"/>
      <color rgb="FF666666"/>
      <name val="Aptos Narrow"/>
      <family val="2"/>
      <charset val="1"/>
    </font>
    <font>
      <b val="true"/>
      <sz val="8"/>
      <color rgb="FF2E75B6"/>
      <name val="Aptos Narrow"/>
      <family val="2"/>
      <charset val="1"/>
    </font>
    <font>
      <b val="true"/>
      <sz val="8"/>
      <color rgb="FFC00000"/>
      <name val="Aptos Narrow"/>
      <family val="2"/>
      <charset val="1"/>
    </font>
    <font>
      <b val="true"/>
      <sz val="11"/>
      <color rgb="FF999999"/>
      <name val="Aptos Narrow"/>
      <family val="2"/>
      <charset val="1"/>
    </font>
    <font>
      <b val="true"/>
      <sz val="12"/>
      <color rgb="FF1F4E79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1"/>
      <color rgb="FF1F4E79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b val="true"/>
      <sz val="11"/>
      <color rgb="FF2E75B6"/>
      <name val="Aptos Narrow"/>
      <family val="2"/>
      <charset val="1"/>
    </font>
    <font>
      <sz val="9"/>
      <color rgb="FF666666"/>
      <name val="Aptos Narrow"/>
      <family val="2"/>
      <charset val="1"/>
    </font>
    <font>
      <b val="true"/>
      <sz val="11"/>
      <color rgb="FFC00000"/>
      <name val="Aptos Narrow"/>
      <family val="2"/>
      <charset val="1"/>
    </font>
    <font>
      <b val="true"/>
      <sz val="9"/>
      <color rgb="FF666666"/>
      <name val="Aptos Narrow"/>
      <family val="2"/>
      <charset val="1"/>
    </font>
    <font>
      <b val="true"/>
      <sz val="11"/>
      <color rgb="FF008000"/>
      <name val="Aptos Narrow"/>
      <family val="2"/>
      <charset val="1"/>
    </font>
    <font>
      <b val="true"/>
      <sz val="11"/>
      <color rgb="FFFF8C00"/>
      <name val="Aptos Narrow"/>
      <family val="2"/>
      <charset val="1"/>
    </font>
    <font>
      <b val="true"/>
      <sz val="11"/>
      <color rgb="FF800000"/>
      <name val="Aptos Narrow"/>
      <family val="2"/>
      <charset val="1"/>
    </font>
    <font>
      <b val="true"/>
      <i val="true"/>
      <sz val="11"/>
      <color rgb="FFC00000"/>
      <name val="Aptos Narrow"/>
      <family val="2"/>
      <charset val="1"/>
    </font>
    <font>
      <b val="true"/>
      <sz val="10"/>
      <color rgb="FFFFFFFF"/>
      <name val="Aptos Narrow"/>
      <family val="2"/>
      <charset val="1"/>
    </font>
    <font>
      <sz val="11"/>
      <color rgb="FF008000"/>
      <name val="Aptos Narrow"/>
      <family val="2"/>
      <charset val="1"/>
    </font>
    <font>
      <sz val="11"/>
      <color rgb="FFC00000"/>
      <name val="Aptos Narrow"/>
      <family val="2"/>
      <charset val="1"/>
    </font>
    <font>
      <sz val="11"/>
      <color rgb="FFFF8C00"/>
      <name val="Aptos Narrow"/>
      <family val="2"/>
      <charset val="1"/>
    </font>
    <font>
      <b val="true"/>
      <sz val="14"/>
      <color rgb="FF008000"/>
      <name val="Aptos Narrow"/>
      <family val="2"/>
      <charset val="1"/>
    </font>
    <font>
      <b val="true"/>
      <sz val="14"/>
      <color rgb="FFC00000"/>
      <name val="Aptos Narrow"/>
      <family val="2"/>
      <charset val="1"/>
    </font>
    <font>
      <b val="true"/>
      <sz val="14"/>
      <color rgb="FF2E75B6"/>
      <name val="Aptos Narrow"/>
      <family val="2"/>
      <charset val="1"/>
    </font>
    <font>
      <sz val="11"/>
      <color rgb="FF2E75B6"/>
      <name val="Aptos Narrow"/>
      <family val="2"/>
      <charset val="1"/>
    </font>
    <font>
      <b val="true"/>
      <sz val="16"/>
      <color rgb="FF1F4E79"/>
      <name val="Aptos Narrow"/>
      <family val="2"/>
      <charset val="1"/>
    </font>
    <font>
      <b val="true"/>
      <sz val="11"/>
      <color rgb="FF800080"/>
      <name val="Aptos Narrow"/>
      <family val="2"/>
      <charset val="1"/>
    </font>
    <font>
      <b val="true"/>
      <i val="true"/>
      <sz val="11"/>
      <color rgb="FF1F4E79"/>
      <name val="Aptos Narrow"/>
      <family val="2"/>
      <charset val="1"/>
    </font>
    <font>
      <sz val="11"/>
      <color theme="1"/>
      <name val="Consolas"/>
      <family val="3"/>
      <charset val="1"/>
    </font>
    <font>
      <sz val="11"/>
      <color rgb="FFC00000"/>
      <name val="Consolas"/>
      <family val="3"/>
      <charset val="1"/>
    </font>
    <font>
      <i val="true"/>
      <sz val="11"/>
      <color theme="1"/>
      <name val="Consolas"/>
      <family val="3"/>
      <charset val="1"/>
    </font>
    <font>
      <b val="true"/>
      <sz val="14"/>
      <color theme="1"/>
      <name val="Consolas"/>
      <family val="3"/>
      <charset val="1"/>
    </font>
    <font>
      <b val="true"/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rgb="FFFF0000"/>
      <name val="Cambria"/>
      <family val="0"/>
      <charset val="1"/>
    </font>
    <font>
      <b val="true"/>
      <sz val="12"/>
      <color rgb="FFC00000"/>
      <name val="Aptos Narrow"/>
      <family val="2"/>
      <charset val="1"/>
    </font>
    <font>
      <b val="true"/>
      <sz val="14"/>
      <color rgb="FFC00000"/>
      <name val="Consolas"/>
      <family val="3"/>
      <charset val="1"/>
    </font>
    <font>
      <b val="true"/>
      <sz val="14"/>
      <color rgb="FF0000FF"/>
      <name val="Aptos Narrow"/>
      <family val="2"/>
      <charset val="1"/>
    </font>
    <font>
      <b val="true"/>
      <i val="true"/>
      <sz val="12"/>
      <color rgb="FFC00000"/>
      <name val="Aptos Narrow"/>
      <family val="2"/>
      <charset val="1"/>
    </font>
    <font>
      <b val="true"/>
      <sz val="11"/>
      <color rgb="FFFF0000"/>
      <name val="Cambria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E8E8E8"/>
        <bgColor rgb="FFECF0F1"/>
      </patternFill>
    </fill>
    <fill>
      <patternFill patternType="solid">
        <fgColor rgb="FFFFFF99"/>
        <bgColor rgb="FFFFF3CD"/>
      </patternFill>
    </fill>
    <fill>
      <patternFill patternType="solid">
        <fgColor rgb="FFC0392B"/>
        <bgColor rgb="FFD35400"/>
      </patternFill>
    </fill>
    <fill>
      <patternFill patternType="solid">
        <fgColor rgb="FF2980B9"/>
        <bgColor rgb="FF2E75B6"/>
      </patternFill>
    </fill>
    <fill>
      <patternFill patternType="solid">
        <fgColor rgb="FF27AE60"/>
        <bgColor rgb="FF008080"/>
      </patternFill>
    </fill>
    <fill>
      <patternFill patternType="solid">
        <fgColor rgb="FF2C3E50"/>
        <bgColor rgb="FF1F4E79"/>
      </patternFill>
    </fill>
    <fill>
      <patternFill patternType="solid">
        <fgColor rgb="FFFADBD8"/>
        <bgColor rgb="FFF8D7DA"/>
      </patternFill>
    </fill>
    <fill>
      <patternFill patternType="solid">
        <fgColor rgb="FFD4E6F1"/>
        <bgColor rgb="FFD9E2F3"/>
      </patternFill>
    </fill>
    <fill>
      <patternFill patternType="solid">
        <fgColor rgb="FFD5F5E3"/>
        <bgColor rgb="FFD4EDDA"/>
      </patternFill>
    </fill>
    <fill>
      <patternFill patternType="solid">
        <fgColor rgb="FF8E44AD"/>
        <bgColor rgb="FF666666"/>
      </patternFill>
    </fill>
    <fill>
      <patternFill patternType="solid">
        <fgColor rgb="FFD35400"/>
        <bgColor rgb="FFC0392B"/>
      </patternFill>
    </fill>
    <fill>
      <patternFill patternType="solid">
        <fgColor rgb="FFFDEBD0"/>
        <bgColor rgb="FFFFF2CC"/>
      </patternFill>
    </fill>
    <fill>
      <patternFill patternType="solid">
        <fgColor rgb="FF7F8C8D"/>
        <bgColor rgb="FF999999"/>
      </patternFill>
    </fill>
    <fill>
      <patternFill patternType="solid">
        <fgColor rgb="FF1A1A2E"/>
        <bgColor rgb="FF000000"/>
      </patternFill>
    </fill>
    <fill>
      <patternFill patternType="solid">
        <fgColor rgb="FFECF0F1"/>
        <bgColor rgb="FFE8E8E8"/>
      </patternFill>
    </fill>
    <fill>
      <patternFill patternType="solid">
        <fgColor rgb="FF1F4E79"/>
        <bgColor rgb="FF2C3E50"/>
      </patternFill>
    </fill>
    <fill>
      <patternFill patternType="solid">
        <fgColor rgb="FF2E75B6"/>
        <bgColor rgb="FF2980B9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99"/>
      </patternFill>
    </fill>
    <fill>
      <patternFill patternType="solid">
        <fgColor rgb="FFD9E2F3"/>
        <bgColor rgb="FFD4E6F1"/>
      </patternFill>
    </fill>
    <fill>
      <patternFill patternType="solid">
        <fgColor rgb="FFFCE4EC"/>
        <bgColor rgb="FFFADBD8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/>
      <top/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9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7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1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9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9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9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7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color rgb="FF155724"/>
      </font>
      <fill>
        <patternFill>
          <bgColor rgb="FFD4EDDA"/>
        </patternFill>
      </fill>
    </dxf>
    <dxf>
      <font>
        <color rgb="FF856404"/>
      </font>
      <fill>
        <patternFill>
          <bgColor rgb="FFFFF3CD"/>
        </patternFill>
      </fill>
    </dxf>
    <dxf>
      <font>
        <color rgb="FF721C24"/>
      </font>
      <fill>
        <patternFill>
          <bgColor rgb="FFF8D7DA"/>
        </patternFill>
      </fill>
    </dxf>
    <dxf>
      <font>
        <color rgb="FFFFFFFF"/>
      </font>
      <fill>
        <patternFill>
          <bgColor rgb="FFC0392B"/>
        </patternFill>
      </fill>
    </dxf>
    <dxf>
      <font>
        <color rgb="FF008000"/>
      </font>
      <fill>
        <patternFill>
          <bgColor rgb="FFE2EFDA"/>
        </patternFill>
      </fill>
    </dxf>
    <dxf>
      <font>
        <color rgb="FFC00000"/>
      </font>
      <fill>
        <patternFill>
          <bgColor rgb="FFFCE4EC"/>
        </patternFill>
      </fill>
    </dxf>
    <dxf>
      <font>
        <color rgb="FF1F4E79"/>
      </font>
      <fill>
        <patternFill>
          <bgColor rgb="FFD9E2F3"/>
        </patternFill>
      </fill>
    </dxf>
    <dxf>
      <font>
        <color rgb="FFFF8C00"/>
      </font>
      <fill>
        <patternFill>
          <bgColor rgb="FFFFF2CC"/>
        </patternFill>
      </fill>
    </dxf>
    <dxf>
      <font>
        <color rgb="FF008000"/>
      </font>
    </dxf>
    <dxf>
      <font>
        <color rgb="FFC00000"/>
      </font>
    </dxf>
    <dxf>
      <font>
        <color rgb="FF800080"/>
      </font>
    </dxf>
    <dxf>
      <font>
        <color rgb="FF8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2980B9"/>
      <rgbColor rgb="FFCCCCCC"/>
      <rgbColor rgb="FF7F8C8D"/>
      <rgbColor rgb="FFE2EFDA"/>
      <rgbColor rgb="FF8E44AD"/>
      <rgbColor rgb="FFFFF3CD"/>
      <rgbColor rgb="FFD4EDDA"/>
      <rgbColor rgb="FF660066"/>
      <rgbColor rgb="FFFCE4EC"/>
      <rgbColor rgb="FF0066CC"/>
      <rgbColor rgb="FFD9D9D9"/>
      <rgbColor rgb="FF000080"/>
      <rgbColor rgb="FFFF00FF"/>
      <rgbColor rgb="FFFFF2CC"/>
      <rgbColor rgb="FF00FFFF"/>
      <rgbColor rgb="FFC00000"/>
      <rgbColor rgb="FF721C24"/>
      <rgbColor rgb="FF008080"/>
      <rgbColor rgb="FF0000FF"/>
      <rgbColor rgb="FF00CCFF"/>
      <rgbColor rgb="FFD4E6F1"/>
      <rgbColor rgb="FFD5F5E3"/>
      <rgbColor rgb="FFFFFF99"/>
      <rgbColor rgb="FFD9E2F3"/>
      <rgbColor rgb="FFFADBD8"/>
      <rgbColor rgb="FFE8E8E8"/>
      <rgbColor rgb="FFF8D7DA"/>
      <rgbColor rgb="FF2E75B6"/>
      <rgbColor rgb="FF33CCCC"/>
      <rgbColor rgb="FFECF0F1"/>
      <rgbColor rgb="FFFDEBD0"/>
      <rgbColor rgb="FFFF8C00"/>
      <rgbColor rgb="FFD35400"/>
      <rgbColor rgb="FF666666"/>
      <rgbColor rgb="FF999999"/>
      <rgbColor rgb="FF003366"/>
      <rgbColor rgb="FF27AE60"/>
      <rgbColor rgb="FF155724"/>
      <rgbColor rgb="FF1A1A2E"/>
      <rgbColor rgb="FFC0392B"/>
      <rgbColor rgb="FF555555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1.89"/>
    <col collapsed="false" customWidth="true" hidden="false" outlineLevel="0" max="6" min="2" style="0" width="18.56"/>
  </cols>
  <sheetData>
    <row r="1" customFormat="false" ht="18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0" t="s">
        <v>3</v>
      </c>
    </row>
    <row r="6" customFormat="false" ht="14.25" hidden="false" customHeight="false" outlineLevel="0" collapsed="false">
      <c r="A6" s="0" t="s">
        <v>4</v>
      </c>
    </row>
    <row r="7" customFormat="false" ht="14.25" hidden="false" customHeight="false" outlineLevel="0" collapsed="false">
      <c r="A7" s="0" t="s">
        <v>5</v>
      </c>
    </row>
    <row r="8" customFormat="false" ht="14.25" hidden="false" customHeight="false" outlineLevel="0" collapsed="false">
      <c r="A8" s="0" t="s">
        <v>6</v>
      </c>
    </row>
    <row r="10" customFormat="false" ht="15" hidden="false" customHeight="true" outlineLevel="0" collapsed="false">
      <c r="A10" s="4" t="s">
        <v>7</v>
      </c>
      <c r="C10" s="5" t="s">
        <v>8</v>
      </c>
    </row>
    <row r="12" customFormat="false" ht="14.25" hidden="false" customHeight="false" outlineLevel="0" collapsed="false">
      <c r="A12" s="6" t="s">
        <v>9</v>
      </c>
      <c r="B12" s="7"/>
      <c r="C12" s="7"/>
      <c r="D12" s="7"/>
      <c r="E12" s="7"/>
      <c r="F12" s="7"/>
    </row>
    <row r="13" customFormat="false" ht="14.25" hidden="false" customHeight="false" outlineLevel="0" collapsed="false">
      <c r="A13" s="8" t="s">
        <v>10</v>
      </c>
    </row>
    <row r="14" customFormat="false" ht="14.25" hidden="false" customHeight="false" outlineLevel="0" collapsed="false">
      <c r="A14" s="8" t="s">
        <v>11</v>
      </c>
    </row>
    <row r="15" customFormat="false" ht="14.25" hidden="false" customHeight="false" outlineLevel="0" collapsed="false">
      <c r="A15" s="8" t="s">
        <v>12</v>
      </c>
    </row>
    <row r="17" customFormat="false" ht="14.25" hidden="false" customHeight="false" outlineLevel="0" collapsed="false">
      <c r="A17" s="9" t="s">
        <v>13</v>
      </c>
      <c r="B17" s="10"/>
      <c r="C17" s="10"/>
      <c r="D17" s="10"/>
      <c r="E17" s="10"/>
      <c r="F17" s="10"/>
    </row>
    <row r="18" customFormat="false" ht="14.25" hidden="false" customHeight="false" outlineLevel="0" collapsed="false">
      <c r="A18" s="8" t="s">
        <v>14</v>
      </c>
    </row>
    <row r="19" customFormat="false" ht="14.25" hidden="false" customHeight="false" outlineLevel="0" collapsed="false">
      <c r="A19" s="8" t="s">
        <v>15</v>
      </c>
    </row>
    <row r="20" customFormat="false" ht="14.25" hidden="false" customHeight="false" outlineLevel="0" collapsed="false">
      <c r="A20" s="8" t="s">
        <v>16</v>
      </c>
    </row>
    <row r="22" customFormat="false" ht="14.25" hidden="false" customHeight="false" outlineLevel="0" collapsed="false">
      <c r="A22" s="11" t="s">
        <v>17</v>
      </c>
      <c r="B22" s="12"/>
      <c r="C22" s="12"/>
      <c r="D22" s="12"/>
      <c r="E22" s="12"/>
      <c r="F22" s="12"/>
    </row>
    <row r="23" customFormat="false" ht="14.25" hidden="false" customHeight="false" outlineLevel="0" collapsed="false">
      <c r="A23" s="8" t="s">
        <v>18</v>
      </c>
    </row>
    <row r="24" customFormat="false" ht="14.25" hidden="false" customHeight="false" outlineLevel="0" collapsed="false">
      <c r="A24" s="8" t="s">
        <v>19</v>
      </c>
    </row>
    <row r="25" customFormat="false" ht="14.25" hidden="false" customHeight="false" outlineLevel="0" collapsed="false">
      <c r="A25" s="8" t="s">
        <v>20</v>
      </c>
    </row>
    <row r="27" customFormat="false" ht="18" hidden="false" customHeight="true" outlineLevel="0" collapsed="false">
      <c r="A27" s="13" t="s">
        <v>21</v>
      </c>
    </row>
    <row r="28" customFormat="false" ht="14.25" hidden="false" customHeight="false" outlineLevel="0" collapsed="false">
      <c r="A28" s="14" t="s">
        <v>22</v>
      </c>
    </row>
    <row r="30" customFormat="false" ht="14.25" hidden="false" customHeight="false" outlineLevel="0" collapsed="false">
      <c r="A30" s="15"/>
      <c r="B30" s="16" t="s">
        <v>23</v>
      </c>
      <c r="C30" s="16" t="s">
        <v>24</v>
      </c>
      <c r="D30" s="16" t="s">
        <v>25</v>
      </c>
      <c r="E30" s="16" t="s">
        <v>26</v>
      </c>
      <c r="F30" s="17"/>
    </row>
    <row r="31" customFormat="false" ht="14.25" hidden="false" customHeight="false" outlineLevel="0" collapsed="false">
      <c r="A31" s="18" t="s">
        <v>27</v>
      </c>
      <c r="B31" s="19"/>
      <c r="C31" s="19"/>
      <c r="D31" s="19"/>
      <c r="E31" s="19"/>
      <c r="F31" s="20"/>
    </row>
    <row r="32" customFormat="false" ht="14.25" hidden="false" customHeight="false" outlineLevel="0" collapsed="false">
      <c r="A32" s="21" t="s">
        <v>28</v>
      </c>
      <c r="B32" s="22"/>
      <c r="C32" s="22"/>
      <c r="D32" s="22"/>
      <c r="E32" s="22"/>
      <c r="F32" s="20"/>
    </row>
    <row r="33" customFormat="false" ht="14.25" hidden="false" customHeight="false" outlineLevel="0" collapsed="false">
      <c r="A33" s="21" t="s">
        <v>29</v>
      </c>
      <c r="B33" s="22"/>
      <c r="C33" s="22"/>
      <c r="D33" s="22"/>
      <c r="E33" s="22"/>
      <c r="F33" s="20"/>
    </row>
    <row r="34" customFormat="false" ht="14.25" hidden="false" customHeight="false" outlineLevel="0" collapsed="false">
      <c r="A34" s="21" t="s">
        <v>30</v>
      </c>
      <c r="B34" s="22"/>
      <c r="C34" s="22"/>
      <c r="D34" s="22"/>
      <c r="E34" s="22"/>
      <c r="F34" s="20"/>
    </row>
    <row r="35" customFormat="false" ht="14.25" hidden="false" customHeight="false" outlineLevel="0" collapsed="false">
      <c r="A35" s="23" t="s">
        <v>31</v>
      </c>
      <c r="B35" s="24" t="n">
        <f aca="false">SUM(B32:B34)</f>
        <v>0</v>
      </c>
      <c r="C35" s="24" t="n">
        <f aca="false">SUM(C32:C34)</f>
        <v>0</v>
      </c>
      <c r="D35" s="24" t="n">
        <f aca="false">SUM(D32:D34)</f>
        <v>0</v>
      </c>
      <c r="E35" s="24" t="n">
        <f aca="false">SUM(E32:E34)</f>
        <v>0</v>
      </c>
      <c r="F35" s="20"/>
    </row>
    <row r="36" customFormat="false" ht="14.25" hidden="false" customHeight="false" outlineLevel="0" collapsed="false">
      <c r="A36" s="25" t="s">
        <v>32</v>
      </c>
      <c r="B36" s="26"/>
      <c r="C36" s="26"/>
      <c r="D36" s="26"/>
      <c r="E36" s="26"/>
      <c r="F36" s="20"/>
    </row>
    <row r="37" customFormat="false" ht="14.25" hidden="false" customHeight="false" outlineLevel="0" collapsed="false">
      <c r="A37" s="21" t="s">
        <v>33</v>
      </c>
      <c r="B37" s="22"/>
      <c r="C37" s="22"/>
      <c r="D37" s="22"/>
      <c r="E37" s="22"/>
      <c r="F37" s="20"/>
    </row>
    <row r="38" customFormat="false" ht="14.25" hidden="false" customHeight="false" outlineLevel="0" collapsed="false">
      <c r="A38" s="21" t="s">
        <v>34</v>
      </c>
      <c r="B38" s="22"/>
      <c r="C38" s="22"/>
      <c r="D38" s="22"/>
      <c r="E38" s="22"/>
      <c r="F38" s="20"/>
    </row>
    <row r="39" customFormat="false" ht="14.25" hidden="false" customHeight="false" outlineLevel="0" collapsed="false">
      <c r="A39" s="21" t="s">
        <v>35</v>
      </c>
      <c r="B39" s="22"/>
      <c r="C39" s="22"/>
      <c r="D39" s="22"/>
      <c r="E39" s="22"/>
      <c r="F39" s="20"/>
    </row>
    <row r="40" customFormat="false" ht="14.25" hidden="false" customHeight="false" outlineLevel="0" collapsed="false">
      <c r="A40" s="27" t="s">
        <v>36</v>
      </c>
      <c r="B40" s="24" t="n">
        <f aca="false">SUM(B37:B39)</f>
        <v>0</v>
      </c>
      <c r="C40" s="24" t="n">
        <f aca="false">SUM(C37:C39)</f>
        <v>0</v>
      </c>
      <c r="D40" s="24" t="n">
        <f aca="false">SUM(D37:D39)</f>
        <v>0</v>
      </c>
      <c r="E40" s="24" t="n">
        <f aca="false">SUM(E37:E39)</f>
        <v>0</v>
      </c>
      <c r="F40" s="20"/>
    </row>
    <row r="41" customFormat="false" ht="14.25" hidden="false" customHeight="false" outlineLevel="0" collapsed="false">
      <c r="A41" s="28" t="s">
        <v>37</v>
      </c>
      <c r="B41" s="29"/>
      <c r="C41" s="29"/>
      <c r="D41" s="29"/>
      <c r="E41" s="29"/>
      <c r="F41" s="20"/>
    </row>
    <row r="42" customFormat="false" ht="14.25" hidden="false" customHeight="false" outlineLevel="0" collapsed="false">
      <c r="A42" s="21" t="s">
        <v>38</v>
      </c>
      <c r="B42" s="22"/>
      <c r="C42" s="22"/>
      <c r="D42" s="22"/>
      <c r="E42" s="22"/>
      <c r="F42" s="20"/>
    </row>
    <row r="43" customFormat="false" ht="14.25" hidden="false" customHeight="false" outlineLevel="0" collapsed="false">
      <c r="A43" s="21" t="s">
        <v>39</v>
      </c>
      <c r="B43" s="22"/>
      <c r="C43" s="22"/>
      <c r="D43" s="22"/>
      <c r="E43" s="22"/>
      <c r="F43" s="20"/>
    </row>
    <row r="44" customFormat="false" ht="14.25" hidden="false" customHeight="false" outlineLevel="0" collapsed="false">
      <c r="A44" s="21" t="s">
        <v>40</v>
      </c>
      <c r="B44" s="22"/>
      <c r="C44" s="22"/>
      <c r="D44" s="22"/>
      <c r="E44" s="22"/>
      <c r="F44" s="20"/>
    </row>
    <row r="45" customFormat="false" ht="14.25" hidden="false" customHeight="false" outlineLevel="0" collapsed="false">
      <c r="A45" s="30" t="s">
        <v>41</v>
      </c>
      <c r="B45" s="24" t="n">
        <f aca="false">SUM(B42:B44)</f>
        <v>0</v>
      </c>
      <c r="C45" s="24" t="n">
        <f aca="false">SUM(C42:C44)</f>
        <v>0</v>
      </c>
      <c r="D45" s="24" t="n">
        <f aca="false">SUM(D42:D44)</f>
        <v>0</v>
      </c>
      <c r="E45" s="24" t="n">
        <f aca="false">SUM(E42:E44)</f>
        <v>0</v>
      </c>
      <c r="F45" s="20"/>
    </row>
    <row r="46" customFormat="false" ht="14.25" hidden="false" customHeight="false" outlineLevel="0" collapsed="false">
      <c r="A46" s="31"/>
      <c r="B46" s="32"/>
      <c r="C46" s="32"/>
      <c r="D46" s="32"/>
      <c r="E46" s="32"/>
      <c r="F46" s="20"/>
    </row>
    <row r="47" customFormat="false" ht="14.25" hidden="false" customHeight="false" outlineLevel="0" collapsed="false">
      <c r="A47" s="33" t="s">
        <v>42</v>
      </c>
      <c r="B47" s="34"/>
      <c r="C47" s="34"/>
      <c r="D47" s="34"/>
      <c r="E47" s="34"/>
      <c r="F47" s="20"/>
    </row>
    <row r="48" customFormat="false" ht="14.25" hidden="false" customHeight="false" outlineLevel="0" collapsed="false">
      <c r="A48" s="35" t="s">
        <v>43</v>
      </c>
      <c r="B48" s="36" t="str">
        <f aca="false">B35&amp;"-"&amp;B40&amp;"-"&amp;B45</f>
        <v>0-0-0</v>
      </c>
      <c r="C48" s="36" t="str">
        <f aca="false">C35&amp;"-"&amp;C40&amp;"-"&amp;C45</f>
        <v>0-0-0</v>
      </c>
      <c r="D48" s="36" t="str">
        <f aca="false">D35&amp;"-"&amp;D40&amp;"-"&amp;D45</f>
        <v>0-0-0</v>
      </c>
      <c r="E48" s="36" t="str">
        <f aca="false">E35&amp;"-"&amp;E40&amp;"-"&amp;E45</f>
        <v>0-0-0</v>
      </c>
      <c r="F48" s="20"/>
    </row>
    <row r="49" customFormat="false" ht="14.25" hidden="false" customHeight="false" outlineLevel="0" collapsed="false">
      <c r="A49" s="37" t="s">
        <v>44</v>
      </c>
      <c r="B49" s="38" t="str">
        <f aca="false">IF(AND(B35=3,B40=3,B45=3),"FULL TRILEMMA",IF((B35=3)+(B40=3)+(B45=3)&gt;=2,"PARTIAL TRILEMMA",IF(MAX(B35,B40,B45)&gt;=2,"TENSION","LOW CONFLICT")))</f>
        <v>LOW CONFLICT</v>
      </c>
      <c r="C49" s="38" t="str">
        <f aca="false">IF(AND(C35=3,C40=3,C45=3),"FULL TRILEMMA",IF((C35=3)+(C40=3)+(C45=3)&gt;=2,"PARTIAL TRILEMMA",IF(MAX(C35,C40,C45)&gt;=2,"TENSION","LOW CONFLICT")))</f>
        <v>LOW CONFLICT</v>
      </c>
      <c r="D49" s="38" t="str">
        <f aca="false">IF(AND(D35=3,D40=3,D45=3),"FULL TRILEMMA",IF((D35=3)+(D40=3)+(D45=3)&gt;=2,"PARTIAL TRILEMMA",IF(MAX(D35,D40,D45)&gt;=2,"TENSION","LOW CONFLICT")))</f>
        <v>LOW CONFLICT</v>
      </c>
      <c r="E49" s="38" t="str">
        <f aca="false">IF(AND(E35=3,E40=3,E45=3),"FULL TRILEMMA",IF((E35=3)+(E40=3)+(E45=3)&gt;=2,"PARTIAL TRILEMMA",IF(MAX(E35,E40,E45)&gt;=2,"TENSION","LOW CONFLICT")))</f>
        <v>LOW CONFLICT</v>
      </c>
      <c r="F49" s="39"/>
    </row>
    <row r="51" customFormat="false" ht="18" hidden="false" customHeight="true" outlineLevel="0" collapsed="false">
      <c r="A51" s="13" t="s">
        <v>45</v>
      </c>
    </row>
    <row r="52" customFormat="false" ht="14.25" hidden="false" customHeight="false" outlineLevel="0" collapsed="false">
      <c r="A52" s="14" t="s">
        <v>46</v>
      </c>
    </row>
    <row r="54" customFormat="false" ht="14.25" hidden="false" customHeight="false" outlineLevel="0" collapsed="false">
      <c r="A54" s="40" t="s">
        <v>47</v>
      </c>
      <c r="B54" s="41"/>
      <c r="C54" s="41"/>
      <c r="D54" s="41"/>
      <c r="E54" s="41"/>
      <c r="F54" s="41"/>
    </row>
    <row r="55" customFormat="false" ht="14.25" hidden="false" customHeight="false" outlineLevel="0" collapsed="false">
      <c r="A55" s="42"/>
      <c r="B55" s="43" t="s">
        <v>23</v>
      </c>
      <c r="C55" s="43" t="s">
        <v>24</v>
      </c>
      <c r="D55" s="43" t="s">
        <v>25</v>
      </c>
      <c r="E55" s="43" t="s">
        <v>26</v>
      </c>
      <c r="F55" s="43" t="s">
        <v>48</v>
      </c>
    </row>
    <row r="56" customFormat="false" ht="14.25" hidden="false" customHeight="false" outlineLevel="0" collapsed="false">
      <c r="A56" s="8" t="s">
        <v>49</v>
      </c>
      <c r="B56" s="44" t="n">
        <f aca="false">B35</f>
        <v>0</v>
      </c>
      <c r="C56" s="44" t="n">
        <f aca="false">C35</f>
        <v>0</v>
      </c>
      <c r="D56" s="44" t="n">
        <f aca="false">D35</f>
        <v>0</v>
      </c>
      <c r="E56" s="44" t="n">
        <f aca="false">E35</f>
        <v>0</v>
      </c>
      <c r="F56" s="45" t="n">
        <f aca="false">MAX(B56:E56)-MIN(B56:E56)</f>
        <v>0</v>
      </c>
    </row>
    <row r="57" customFormat="false" ht="14.25" hidden="false" customHeight="false" outlineLevel="0" collapsed="false">
      <c r="A57" s="8" t="s">
        <v>50</v>
      </c>
      <c r="B57" s="44" t="n">
        <f aca="false">B40</f>
        <v>0</v>
      </c>
      <c r="C57" s="44" t="n">
        <f aca="false">C40</f>
        <v>0</v>
      </c>
      <c r="D57" s="44" t="n">
        <f aca="false">D40</f>
        <v>0</v>
      </c>
      <c r="E57" s="44" t="n">
        <f aca="false">E40</f>
        <v>0</v>
      </c>
      <c r="F57" s="45" t="n">
        <f aca="false">MAX(B57:E57)-MIN(B57:E57)</f>
        <v>0</v>
      </c>
    </row>
    <row r="58" customFormat="false" ht="14.25" hidden="false" customHeight="false" outlineLevel="0" collapsed="false">
      <c r="A58" s="8" t="s">
        <v>51</v>
      </c>
      <c r="B58" s="44" t="n">
        <f aca="false">B45</f>
        <v>0</v>
      </c>
      <c r="C58" s="44" t="n">
        <f aca="false">C45</f>
        <v>0</v>
      </c>
      <c r="D58" s="44" t="n">
        <f aca="false">D45</f>
        <v>0</v>
      </c>
      <c r="E58" s="44" t="n">
        <f aca="false">E45</f>
        <v>0</v>
      </c>
      <c r="F58" s="45" t="n">
        <f aca="false">MAX(B58:E58)-MIN(B58:E58)</f>
        <v>0</v>
      </c>
    </row>
    <row r="60" customFormat="false" ht="14.25" hidden="false" customHeight="false" outlineLevel="0" collapsed="false">
      <c r="A60" s="46" t="s">
        <v>52</v>
      </c>
      <c r="B60" s="47"/>
      <c r="C60" s="47"/>
      <c r="D60" s="47"/>
      <c r="E60" s="47"/>
      <c r="F60" s="47"/>
    </row>
    <row r="61" customFormat="false" ht="14.25" hidden="false" customHeight="false" outlineLevel="0" collapsed="false">
      <c r="A61" s="8" t="s">
        <v>53</v>
      </c>
      <c r="F61" s="45" t="n">
        <f aca="false">E56-B56</f>
        <v>0</v>
      </c>
    </row>
    <row r="62" customFormat="false" ht="14.25" hidden="false" customHeight="false" outlineLevel="0" collapsed="false">
      <c r="A62" s="8" t="s">
        <v>54</v>
      </c>
      <c r="F62" s="45" t="n">
        <f aca="false">E57-B57</f>
        <v>0</v>
      </c>
    </row>
    <row r="63" customFormat="false" ht="14.25" hidden="false" customHeight="false" outlineLevel="0" collapsed="false">
      <c r="A63" s="8" t="s">
        <v>55</v>
      </c>
      <c r="F63" s="45" t="n">
        <f aca="false">E58-B58</f>
        <v>0</v>
      </c>
    </row>
    <row r="64" customFormat="false" ht="15" hidden="false" customHeight="true" outlineLevel="0" collapsed="false">
      <c r="A64" s="48" t="s">
        <v>56</v>
      </c>
      <c r="F64" s="49" t="n">
        <f aca="false">MAX(0,F61)+MAX(0,F62)+MAX(0,ABS(F63))</f>
        <v>0</v>
      </c>
    </row>
    <row r="66" customFormat="false" ht="18" hidden="false" customHeight="true" outlineLevel="0" collapsed="false">
      <c r="A66" s="50" t="s">
        <v>57</v>
      </c>
      <c r="B66" s="51"/>
      <c r="C66" s="51"/>
      <c r="D66" s="51"/>
      <c r="E66" s="51"/>
      <c r="F66" s="51"/>
    </row>
    <row r="67" customFormat="false" ht="18" hidden="false" customHeight="true" outlineLevel="0" collapsed="false">
      <c r="A67" s="52" t="s">
        <v>58</v>
      </c>
      <c r="B67" s="53" t="str">
        <f aca="false">IF(F64=0,"COHERENT",IF(F64&lt;=2,"MILD TENSION",IF(F64&lt;=4,"INCOHERENT","SEVERE COST EXPORT")))</f>
        <v>COHERENT</v>
      </c>
    </row>
    <row r="69" customFormat="false" ht="14.25" hidden="false" customHeight="false" outlineLevel="0" collapsed="false">
      <c r="A69" s="54" t="s">
        <v>59</v>
      </c>
      <c r="B69" s="55" t="str">
        <f aca="false">IF(F64=0,"Position is internally consistent across social distance. Same moral logic at every level.",IF(AND(F61&gt;0,F62&lt;0),"Demands justice from system while consuming mercy locally. Cost is exported upward to strangers.",IF(AND(F61&gt;0,F63&gt;0),"Demands justice AND claims free will at distance. Wants accountability for others, freedom for self.",IF(F62&gt;0,"Expects more mercy from strangers than from family. Unusual — may indicate entitlement posture.","Mixed asymmetry detected. Review gradient scores for specifics."))))</f>
        <v>Position is internally consistent across social distance. Same moral logic at every level.</v>
      </c>
    </row>
    <row r="71" customFormat="false" ht="14.25" hidden="false" customHeight="false" outlineLevel="0" collapsed="false">
      <c r="A71" s="56" t="s">
        <v>60</v>
      </c>
      <c r="B71" s="57"/>
      <c r="C71" s="57"/>
      <c r="D71" s="57"/>
      <c r="E71" s="57"/>
      <c r="F71" s="57"/>
    </row>
    <row r="72" customFormat="false" ht="14.25" hidden="false" customHeight="false" outlineLevel="0" collapsed="false">
      <c r="A72" s="8" t="s">
        <v>61</v>
      </c>
    </row>
    <row r="73" customFormat="false" ht="14.25" hidden="false" customHeight="false" outlineLevel="0" collapsed="false">
      <c r="A73" s="48" t="s">
        <v>62</v>
      </c>
    </row>
    <row r="74" customFormat="false" ht="14.25" hidden="false" customHeight="false" outlineLevel="0" collapsed="false">
      <c r="A74" s="14" t="s">
        <v>63</v>
      </c>
    </row>
    <row r="76" customFormat="false" ht="14.25" hidden="false" customHeight="false" outlineLevel="0" collapsed="false">
      <c r="A76" s="48" t="s">
        <v>64</v>
      </c>
      <c r="B76" s="48" t="str">
        <f aca="false">IF(OR(B49="FULL TRILEMMA",C49="FULL TRILEMMA",D49="FULL TRILEMMA",E49="FULL TRILEMMA"),"YES — Cross prediction applies. No resolution without voluntary cost-bearer.","No full trilemma at any radius.")</f>
        <v>No full trilemma at any radius.</v>
      </c>
    </row>
  </sheetData>
  <conditionalFormatting sqref="B67">
    <cfRule type="containsText" priority="2" operator="containsText" aboveAverage="0" equalAverage="0" bottom="0" percent="0" rank="0" text="COHERENT" dxfId="0">
      <formula>NOT(ISERROR(SEARCH("COHERENT",B67)))</formula>
    </cfRule>
    <cfRule type="containsText" priority="3" operator="containsText" aboveAverage="0" equalAverage="0" bottom="0" percent="0" rank="0" text="MILD" dxfId="1">
      <formula>NOT(ISERROR(SEARCH("MILD",B67)))</formula>
    </cfRule>
    <cfRule type="containsText" priority="4" operator="containsText" aboveAverage="0" equalAverage="0" bottom="0" percent="0" rank="0" text="INCOHERENT" dxfId="2">
      <formula>NOT(ISERROR(SEARCH("INCOHERENT",B67)))</formula>
    </cfRule>
    <cfRule type="containsText" priority="5" operator="containsText" aboveAverage="0" equalAverage="0" bottom="0" percent="0" rank="0" text="SEVERE" dxfId="3">
      <formula>NOT(ISERROR(SEARCH("SEVERE",B67)))</formula>
    </cfRule>
    <cfRule type="containsText" priority="6" operator="containsText" aboveAverage="0" equalAverage="0" bottom="0" percent="0" rank="0" text="SEVERE" dxfId="3">
      <formula>NOT(ISERROR(SEARCH("SEVERE",B67)))</formula>
    </cfRule>
    <cfRule type="containsText" priority="7" operator="containsText" aboveAverage="0" equalAverage="0" bottom="0" percent="0" rank="0" text="INCOHERENT" dxfId="2">
      <formula>NOT(ISERROR(SEARCH("INCOHERENT",B67)))</formula>
    </cfRule>
    <cfRule type="containsText" priority="8" operator="containsText" aboveAverage="0" equalAverage="0" bottom="0" percent="0" rank="0" text="MILD" dxfId="1">
      <formula>NOT(ISERROR(SEARCH("MILD",B67)))</formula>
    </cfRule>
    <cfRule type="containsText" priority="9" operator="containsText" aboveAverage="0" equalAverage="0" bottom="0" percent="0" rank="0" text="COHERENT" dxfId="0">
      <formula>NOT(ISERROR(SEARCH("COHERENT",B67)))</formula>
    </cfRule>
  </conditionalFormatting>
  <dataValidations count="1">
    <dataValidation allowBlank="true" errorStyle="stop" operator="between" prompt="0 = No, 1 = Yes" promptTitle="Enter 0 or 1" showDropDown="false" showErrorMessage="true" showInputMessage="true" sqref="B32:E34 B37:E39 B42:E44" type="whole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5.88"/>
    <col collapsed="false" customWidth="true" hidden="false" outlineLevel="0" max="15" min="2" style="0" width="11.11"/>
  </cols>
  <sheetData>
    <row r="1" customFormat="false" ht="21" hidden="false" customHeight="true" outlineLevel="0" collapsed="false">
      <c r="A1" s="58" t="s">
        <v>65</v>
      </c>
    </row>
    <row r="2" customFormat="false" ht="14.25" hidden="false" customHeight="false" outlineLevel="0" collapsed="false">
      <c r="A2" s="14" t="s">
        <v>66</v>
      </c>
    </row>
    <row r="4" customFormat="false" ht="14.25" hidden="false" customHeight="false" outlineLevel="0" collapsed="false">
      <c r="A4" s="15"/>
      <c r="B4" s="16" t="s">
        <v>23</v>
      </c>
      <c r="C4" s="59"/>
      <c r="D4" s="59"/>
      <c r="E4" s="16" t="s">
        <v>24</v>
      </c>
      <c r="F4" s="59"/>
      <c r="G4" s="59"/>
      <c r="H4" s="16" t="s">
        <v>25</v>
      </c>
      <c r="I4" s="59"/>
      <c r="J4" s="59"/>
      <c r="K4" s="16" t="s">
        <v>26</v>
      </c>
      <c r="L4" s="59"/>
      <c r="M4" s="59"/>
      <c r="N4" s="16" t="s">
        <v>67</v>
      </c>
      <c r="O4" s="60"/>
    </row>
    <row r="5" customFormat="false" ht="14.25" hidden="false" customHeight="false" outlineLevel="0" collapsed="false">
      <c r="A5" s="61" t="s">
        <v>68</v>
      </c>
      <c r="B5" s="62" t="s">
        <v>69</v>
      </c>
      <c r="C5" s="63" t="s">
        <v>70</v>
      </c>
      <c r="D5" s="64" t="s">
        <v>71</v>
      </c>
      <c r="E5" s="62" t="s">
        <v>69</v>
      </c>
      <c r="F5" s="63" t="s">
        <v>70</v>
      </c>
      <c r="G5" s="64" t="s">
        <v>71</v>
      </c>
      <c r="H5" s="62" t="s">
        <v>69</v>
      </c>
      <c r="I5" s="63" t="s">
        <v>70</v>
      </c>
      <c r="J5" s="64" t="s">
        <v>71</v>
      </c>
      <c r="K5" s="62" t="s">
        <v>69</v>
      </c>
      <c r="L5" s="63" t="s">
        <v>70</v>
      </c>
      <c r="M5" s="64" t="s">
        <v>71</v>
      </c>
      <c r="N5" s="65" t="s">
        <v>72</v>
      </c>
      <c r="O5" s="66" t="s">
        <v>73</v>
      </c>
    </row>
    <row r="6" customFormat="false" ht="14.25" hidden="false" customHeight="false" outlineLevel="0" collapsed="false">
      <c r="A6" s="35" t="s">
        <v>74</v>
      </c>
      <c r="B6" s="67" t="n">
        <v>1</v>
      </c>
      <c r="C6" s="67" t="n">
        <v>2</v>
      </c>
      <c r="D6" s="67" t="n">
        <v>1</v>
      </c>
      <c r="E6" s="67" t="n">
        <v>2</v>
      </c>
      <c r="F6" s="67" t="n">
        <v>2</v>
      </c>
      <c r="G6" s="67" t="n">
        <v>2</v>
      </c>
      <c r="H6" s="67" t="n">
        <v>3</v>
      </c>
      <c r="I6" s="67" t="n">
        <v>2</v>
      </c>
      <c r="J6" s="67" t="n">
        <v>2</v>
      </c>
      <c r="K6" s="67" t="n">
        <v>3</v>
      </c>
      <c r="L6" s="67" t="n">
        <v>3</v>
      </c>
      <c r="M6" s="67" t="n">
        <v>2</v>
      </c>
      <c r="N6" s="24" t="n">
        <f aca="false">MAX(0,K6-B6)+MAX(0,L6-C6)+ABS(M6-D6)</f>
        <v>4</v>
      </c>
      <c r="O6" s="68" t="str">
        <f aca="false">IF(N6=0,"COHERENT",IF(N6&lt;=2,"MILD TENSION",IF(N6&lt;=4,"INCOHERENT","SEVERE COST EXPORT")))</f>
        <v>INCOHERENT</v>
      </c>
    </row>
    <row r="7" customFormat="false" ht="14.25" hidden="false" customHeight="false" outlineLevel="0" collapsed="false">
      <c r="A7" s="35" t="s">
        <v>75</v>
      </c>
      <c r="B7" s="67" t="n">
        <v>2</v>
      </c>
      <c r="C7" s="67" t="n">
        <v>3</v>
      </c>
      <c r="D7" s="67" t="n">
        <v>3</v>
      </c>
      <c r="E7" s="67" t="n">
        <v>3</v>
      </c>
      <c r="F7" s="67" t="n">
        <v>3</v>
      </c>
      <c r="G7" s="67" t="n">
        <v>3</v>
      </c>
      <c r="H7" s="67" t="n">
        <v>3</v>
      </c>
      <c r="I7" s="67" t="n">
        <v>3</v>
      </c>
      <c r="J7" s="67" t="n">
        <v>3</v>
      </c>
      <c r="K7" s="67" t="n">
        <v>3</v>
      </c>
      <c r="L7" s="67" t="n">
        <v>3</v>
      </c>
      <c r="M7" s="67" t="n">
        <v>3</v>
      </c>
      <c r="N7" s="24" t="n">
        <f aca="false">MAX(0,K7-B7)+MAX(0,L7-C7)+ABS(M7-D7)</f>
        <v>1</v>
      </c>
      <c r="O7" s="68" t="str">
        <f aca="false">IF(N7=0,"COHERENT",IF(N7&lt;=2,"MILD TENSION",IF(N7&lt;=4,"INCOHERENT","SEVERE COST EXPORT")))</f>
        <v>MILD TENSION</v>
      </c>
    </row>
    <row r="8" customFormat="false" ht="14.25" hidden="false" customHeight="false" outlineLevel="0" collapsed="false">
      <c r="A8" s="35" t="s">
        <v>76</v>
      </c>
      <c r="B8" s="67" t="n">
        <v>1</v>
      </c>
      <c r="C8" s="67" t="n">
        <v>3</v>
      </c>
      <c r="D8" s="67" t="n">
        <v>1</v>
      </c>
      <c r="E8" s="67" t="n">
        <v>2</v>
      </c>
      <c r="F8" s="67" t="n">
        <v>2</v>
      </c>
      <c r="G8" s="67" t="n">
        <v>1</v>
      </c>
      <c r="H8" s="67" t="n">
        <v>3</v>
      </c>
      <c r="I8" s="67" t="n">
        <v>2</v>
      </c>
      <c r="J8" s="67" t="n">
        <v>1</v>
      </c>
      <c r="K8" s="67" t="n">
        <v>3</v>
      </c>
      <c r="L8" s="67" t="n">
        <v>1</v>
      </c>
      <c r="M8" s="67" t="n">
        <v>1</v>
      </c>
      <c r="N8" s="24" t="n">
        <f aca="false">MAX(0,K8-B8)+MAX(0,L8-C8)+ABS(M8-D8)</f>
        <v>2</v>
      </c>
      <c r="O8" s="68" t="str">
        <f aca="false">IF(N8=0,"COHERENT",IF(N8&lt;=2,"MILD TENSION",IF(N8&lt;=4,"INCOHERENT","SEVERE COST EXPORT")))</f>
        <v>MILD TENSION</v>
      </c>
    </row>
    <row r="9" customFormat="false" ht="14.25" hidden="false" customHeight="false" outlineLevel="0" collapsed="false">
      <c r="A9" s="35" t="s">
        <v>77</v>
      </c>
      <c r="B9" s="67" t="n">
        <v>1</v>
      </c>
      <c r="C9" s="67" t="n">
        <v>1</v>
      </c>
      <c r="D9" s="67" t="n">
        <v>2</v>
      </c>
      <c r="E9" s="67" t="n">
        <v>2</v>
      </c>
      <c r="F9" s="67" t="n">
        <v>1</v>
      </c>
      <c r="G9" s="67" t="n">
        <v>3</v>
      </c>
      <c r="H9" s="67" t="n">
        <v>3</v>
      </c>
      <c r="I9" s="67" t="n">
        <v>1</v>
      </c>
      <c r="J9" s="67" t="n">
        <v>3</v>
      </c>
      <c r="K9" s="67" t="n">
        <v>3</v>
      </c>
      <c r="L9" s="67" t="n">
        <v>1</v>
      </c>
      <c r="M9" s="67" t="n">
        <v>3</v>
      </c>
      <c r="N9" s="24" t="n">
        <f aca="false">MAX(0,K9-B9)+MAX(0,L9-C9)+ABS(M9-D9)</f>
        <v>3</v>
      </c>
      <c r="O9" s="68" t="str">
        <f aca="false">IF(N9=0,"COHERENT",IF(N9&lt;=2,"MILD TENSION",IF(N9&lt;=4,"INCOHERENT","SEVERE COST EXPORT")))</f>
        <v>INCOHERENT</v>
      </c>
    </row>
    <row r="10" customFormat="false" ht="14.25" hidden="false" customHeight="false" outlineLevel="0" collapsed="false">
      <c r="A10" s="35" t="s">
        <v>78</v>
      </c>
      <c r="B10" s="67" t="n">
        <v>1</v>
      </c>
      <c r="C10" s="67" t="n">
        <v>3</v>
      </c>
      <c r="D10" s="67" t="n">
        <v>1</v>
      </c>
      <c r="E10" s="67" t="n">
        <v>2</v>
      </c>
      <c r="F10" s="67" t="n">
        <v>3</v>
      </c>
      <c r="G10" s="67" t="n">
        <v>2</v>
      </c>
      <c r="H10" s="67" t="n">
        <v>2</v>
      </c>
      <c r="I10" s="67" t="n">
        <v>3</v>
      </c>
      <c r="J10" s="67" t="n">
        <v>2</v>
      </c>
      <c r="K10" s="67" t="n">
        <v>2</v>
      </c>
      <c r="L10" s="67" t="n">
        <v>3</v>
      </c>
      <c r="M10" s="67" t="n">
        <v>2</v>
      </c>
      <c r="N10" s="24" t="n">
        <f aca="false">MAX(0,K10-B10)+MAX(0,L10-C10)+ABS(M10-D10)</f>
        <v>2</v>
      </c>
      <c r="O10" s="68" t="str">
        <f aca="false">IF(N10=0,"COHERENT",IF(N10&lt;=2,"MILD TENSION",IF(N10&lt;=4,"INCOHERENT","SEVERE COST EXPORT")))</f>
        <v>MILD TENSION</v>
      </c>
    </row>
    <row r="11" customFormat="false" ht="14.25" hidden="false" customHeight="false" outlineLevel="0" collapsed="false">
      <c r="A11" s="35" t="s">
        <v>79</v>
      </c>
      <c r="B11" s="67" t="n">
        <v>1</v>
      </c>
      <c r="C11" s="67" t="n">
        <v>2</v>
      </c>
      <c r="D11" s="67" t="n">
        <v>2</v>
      </c>
      <c r="E11" s="67" t="n">
        <v>2</v>
      </c>
      <c r="F11" s="67" t="n">
        <v>2</v>
      </c>
      <c r="G11" s="67" t="n">
        <v>3</v>
      </c>
      <c r="H11" s="67" t="n">
        <v>3</v>
      </c>
      <c r="I11" s="67" t="n">
        <v>2</v>
      </c>
      <c r="J11" s="67" t="n">
        <v>3</v>
      </c>
      <c r="K11" s="67" t="n">
        <v>3</v>
      </c>
      <c r="L11" s="67" t="n">
        <v>2</v>
      </c>
      <c r="M11" s="67" t="n">
        <v>3</v>
      </c>
      <c r="N11" s="24" t="n">
        <f aca="false">MAX(0,K11-B11)+MAX(0,L11-C11)+ABS(M11-D11)</f>
        <v>3</v>
      </c>
      <c r="O11" s="68" t="str">
        <f aca="false">IF(N11=0,"COHERENT",IF(N11&lt;=2,"MILD TENSION",IF(N11&lt;=4,"INCOHERENT","SEVERE COST EXPORT")))</f>
        <v>INCOHERENT</v>
      </c>
    </row>
    <row r="12" customFormat="false" ht="14.25" hidden="false" customHeight="false" outlineLevel="0" collapsed="false">
      <c r="A12" s="35" t="s">
        <v>80</v>
      </c>
      <c r="B12" s="67" t="n">
        <v>1</v>
      </c>
      <c r="C12" s="67" t="n">
        <v>3</v>
      </c>
      <c r="D12" s="67" t="n">
        <v>2</v>
      </c>
      <c r="E12" s="67" t="n">
        <v>2</v>
      </c>
      <c r="F12" s="67" t="n">
        <v>2</v>
      </c>
      <c r="G12" s="67" t="n">
        <v>2</v>
      </c>
      <c r="H12" s="67" t="n">
        <v>3</v>
      </c>
      <c r="I12" s="67" t="n">
        <v>2</v>
      </c>
      <c r="J12" s="67" t="n">
        <v>2</v>
      </c>
      <c r="K12" s="67" t="n">
        <v>3</v>
      </c>
      <c r="L12" s="67" t="n">
        <v>1</v>
      </c>
      <c r="M12" s="67" t="n">
        <v>2</v>
      </c>
      <c r="N12" s="24" t="n">
        <f aca="false">MAX(0,K12-B12)+MAX(0,L12-C12)+ABS(M12-D12)</f>
        <v>2</v>
      </c>
      <c r="O12" s="68" t="str">
        <f aca="false">IF(N12=0,"COHERENT",IF(N12&lt;=2,"MILD TENSION",IF(N12&lt;=4,"INCOHERENT","SEVERE COST EXPORT")))</f>
        <v>MILD TENSION</v>
      </c>
    </row>
    <row r="13" customFormat="false" ht="14.25" hidden="false" customHeight="false" outlineLevel="0" collapsed="false">
      <c r="A13" s="35" t="s">
        <v>81</v>
      </c>
      <c r="B13" s="67" t="n">
        <v>0</v>
      </c>
      <c r="C13" s="67" t="n">
        <v>3</v>
      </c>
      <c r="D13" s="67" t="n">
        <v>1</v>
      </c>
      <c r="E13" s="67" t="n">
        <v>1</v>
      </c>
      <c r="F13" s="67" t="n">
        <v>3</v>
      </c>
      <c r="G13" s="67" t="n">
        <v>2</v>
      </c>
      <c r="H13" s="67" t="n">
        <v>2</v>
      </c>
      <c r="I13" s="67" t="n">
        <v>3</v>
      </c>
      <c r="J13" s="67" t="n">
        <v>2</v>
      </c>
      <c r="K13" s="67" t="n">
        <v>2</v>
      </c>
      <c r="L13" s="67" t="n">
        <v>3</v>
      </c>
      <c r="M13" s="67" t="n">
        <v>2</v>
      </c>
      <c r="N13" s="24" t="n">
        <f aca="false">MAX(0,K13-B13)+MAX(0,L13-C13)+ABS(M13-D13)</f>
        <v>3</v>
      </c>
      <c r="O13" s="68" t="str">
        <f aca="false">IF(N13=0,"COHERENT",IF(N13&lt;=2,"MILD TENSION",IF(N13&lt;=4,"INCOHERENT","SEVERE COST EXPORT")))</f>
        <v>INCOHERENT</v>
      </c>
    </row>
    <row r="14" customFormat="false" ht="14.25" hidden="false" customHeight="false" outlineLevel="0" collapsed="false">
      <c r="A14" s="69" t="s">
        <v>82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24" t="n">
        <f aca="false">MAX(0,K14-B14)+MAX(0,L14-C14)+ABS(M14-D14)</f>
        <v>0</v>
      </c>
      <c r="O14" s="68" t="str">
        <f aca="false">IF(N14=0,"COHERENT",IF(N14&lt;=2,"MILD TENSION",IF(N14&lt;=4,"INCOHERENT","SEVERE COST EXPORT")))</f>
        <v>COHERENT</v>
      </c>
    </row>
    <row r="15" customFormat="false" ht="14.25" hidden="false" customHeight="false" outlineLevel="0" collapsed="false">
      <c r="A15" s="71" t="s">
        <v>82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3" t="n">
        <f aca="false">MAX(0,K15-B15)+MAX(0,L15-C15)+ABS(M15-D15)</f>
        <v>0</v>
      </c>
      <c r="O15" s="74" t="str">
        <f aca="false">IF(N15=0,"COHERENT",IF(N15&lt;=2,"MILD TENSION",IF(N15&lt;=4,"INCOHERENT","SEVERE COST EXPORT")))</f>
        <v>COHERENT</v>
      </c>
    </row>
  </sheetData>
  <conditionalFormatting sqref="O6:O15">
    <cfRule type="containsText" priority="2" operator="containsText" aboveAverage="0" equalAverage="0" bottom="0" percent="0" rank="0" text="COHERENT" dxfId="0">
      <formula>NOT(ISERROR(SEARCH("COHERENT",O6)))</formula>
    </cfRule>
    <cfRule type="containsText" priority="3" operator="containsText" aboveAverage="0" equalAverage="0" bottom="0" percent="0" rank="0" text="MILD TENSION" dxfId="1">
      <formula>NOT(ISERROR(SEARCH("MILD TENSION",O6)))</formula>
    </cfRule>
    <cfRule type="containsText" priority="4" operator="containsText" aboveAverage="0" equalAverage="0" bottom="0" percent="0" rank="0" text="INCOHERENT" dxfId="2">
      <formula>NOT(ISERROR(SEARCH("INCOHERENT",O6)))</formula>
    </cfRule>
    <cfRule type="containsText" priority="5" operator="containsText" aboveAverage="0" equalAverage="0" bottom="0" percent="0" rank="0" text="SEVERE" dxfId="3">
      <formula>NOT(ISERROR(SEARCH("SEVERE",O6)))</formula>
    </cfRule>
    <cfRule type="containsText" priority="6" operator="containsText" aboveAverage="0" equalAverage="0" bottom="0" percent="0" rank="0" text="SEVERE" dxfId="3">
      <formula>NOT(ISERROR(SEARCH("SEVERE",O6)))</formula>
    </cfRule>
    <cfRule type="containsText" priority="7" operator="containsText" aboveAverage="0" equalAverage="0" bottom="0" percent="0" rank="0" text="INCOHERENT" dxfId="2">
      <formula>NOT(ISERROR(SEARCH("INCOHERENT",O6)))</formula>
    </cfRule>
    <cfRule type="containsText" priority="8" operator="containsText" aboveAverage="0" equalAverage="0" bottom="0" percent="0" rank="0" text="MILD" dxfId="1">
      <formula>NOT(ISERROR(SEARCH("MILD",O6)))</formula>
    </cfRule>
    <cfRule type="containsText" priority="9" operator="containsText" aboveAverage="0" equalAverage="0" bottom="0" percent="0" rank="0" text="COHERENT" dxfId="0">
      <formula>NOT(ISERROR(SEARCH("COHERENT",O6)))</formula>
    </cfRule>
  </conditionalFormatting>
  <conditionalFormatting sqref="N6:N15">
    <cfRule type="colorScale" priority="10">
      <colorScale>
        <cfvo type="min" val="0"/>
        <cfvo type="max" val="0"/>
        <color rgb="FFFF7128"/>
        <color rgb="FFFFEF9C"/>
      </colorScale>
    </cfRule>
  </conditionalFormatting>
  <dataValidations count="1">
    <dataValidation allowBlank="true" errorStyle="stop" operator="between" prompt="0 = None, 1 = Low, 2 = Moderate, 3 = High" promptTitle="Enter 0-3" showDropDown="false" showErrorMessage="true" showInputMessage="true" sqref="B6:M15" type="whole">
      <formula1>0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3.33"/>
    <col collapsed="false" customWidth="true" hidden="false" outlineLevel="0" max="2" min="2" style="0" width="5.56"/>
    <col collapsed="false" customWidth="true" hidden="false" outlineLevel="0" max="3" min="3" style="0" width="11.11"/>
    <col collapsed="false" customWidth="true" hidden="false" outlineLevel="0" max="4" min="4" style="0" width="5.56"/>
    <col collapsed="false" customWidth="true" hidden="false" outlineLevel="0" max="5" min="5" style="0" width="37"/>
    <col collapsed="false" customWidth="true" hidden="false" outlineLevel="0" max="6" min="6" style="0" width="5.56"/>
    <col collapsed="false" customWidth="true" hidden="false" outlineLevel="0" max="7" min="7" style="0" width="37"/>
    <col collapsed="false" customWidth="true" hidden="false" outlineLevel="0" max="9" min="8" style="0" width="11.11"/>
    <col collapsed="false" customWidth="true" hidden="false" outlineLevel="0" max="10" min="10" style="0" width="14.78"/>
    <col collapsed="false" customWidth="true" hidden="false" outlineLevel="0" max="11" min="11" style="0" width="18.56"/>
  </cols>
  <sheetData>
    <row r="1" customFormat="false" ht="18" hidden="false" customHeight="true" outlineLevel="0" collapsed="false">
      <c r="A1" s="1" t="s">
        <v>83</v>
      </c>
    </row>
    <row r="2" customFormat="false" ht="14.25" hidden="false" customHeight="false" outlineLevel="0" collapsed="false">
      <c r="A2" s="75" t="s">
        <v>84</v>
      </c>
    </row>
    <row r="3" customFormat="false" ht="14.25" hidden="false" customHeight="false" outlineLevel="0" collapsed="false">
      <c r="A3" s="75" t="s">
        <v>85</v>
      </c>
    </row>
    <row r="5" customFormat="false" ht="14.25" hidden="false" customHeight="false" outlineLevel="0" collapsed="false">
      <c r="A5" s="76" t="s">
        <v>86</v>
      </c>
      <c r="B5" s="77"/>
      <c r="C5" s="78" t="s">
        <v>87</v>
      </c>
      <c r="D5" s="78" t="s">
        <v>88</v>
      </c>
      <c r="E5" s="78" t="s">
        <v>89</v>
      </c>
      <c r="F5" s="77"/>
      <c r="G5" s="79" t="s">
        <v>90</v>
      </c>
      <c r="H5" s="79" t="s">
        <v>91</v>
      </c>
      <c r="I5" s="79" t="s">
        <v>92</v>
      </c>
      <c r="J5" s="80" t="s">
        <v>93</v>
      </c>
      <c r="K5" s="80" t="s">
        <v>94</v>
      </c>
    </row>
    <row r="6" customFormat="false" ht="14.25" hidden="false" customHeight="false" outlineLevel="0" collapsed="false">
      <c r="B6" s="81" t="s">
        <v>95</v>
      </c>
      <c r="F6" s="82" t="s">
        <v>96</v>
      </c>
    </row>
    <row r="7" customFormat="false" ht="14.25" hidden="false" customHeight="false" outlineLevel="0" collapsed="false">
      <c r="A7" s="54" t="s">
        <v>97</v>
      </c>
      <c r="C7" s="83" t="n">
        <v>1</v>
      </c>
      <c r="D7" s="83" t="n">
        <v>3</v>
      </c>
      <c r="E7" s="83" t="n">
        <v>3</v>
      </c>
      <c r="G7" s="83" t="n">
        <v>3</v>
      </c>
      <c r="H7" s="83" t="n">
        <v>0</v>
      </c>
      <c r="I7" s="83" t="n">
        <v>3</v>
      </c>
      <c r="J7" s="45" t="n">
        <f aca="false">(C7+D7+E7)-(G7+H7+I7)</f>
        <v>1</v>
      </c>
      <c r="K7" s="84" t="str">
        <f aca="false">IF(AND(C7="",G7=""),"",IF(ABS(J7)&lt;=1,"RECIPROCAL",IF(J7&gt;1,"SELF-SERVING","SELF-SACRIFICING")))</f>
        <v>RECIPROCAL</v>
      </c>
    </row>
    <row r="8" customFormat="false" ht="14.25" hidden="false" customHeight="false" outlineLevel="0" collapsed="false">
      <c r="A8" s="54" t="s">
        <v>98</v>
      </c>
      <c r="C8" s="83" t="n">
        <v>3</v>
      </c>
      <c r="D8" s="83" t="n">
        <v>0</v>
      </c>
      <c r="E8" s="83" t="n">
        <v>0</v>
      </c>
      <c r="G8" s="83" t="n">
        <v>0</v>
      </c>
      <c r="H8" s="83" t="n">
        <v>3</v>
      </c>
      <c r="I8" s="83" t="n">
        <v>3</v>
      </c>
      <c r="J8" s="45" t="n">
        <f aca="false">(C8+D8+E8)-(G8+H8+I8)</f>
        <v>-3</v>
      </c>
      <c r="K8" s="84" t="str">
        <f aca="false">IF(AND(C8="",G8=""),"",IF(ABS(J8)&lt;=1,"RECIPROCAL",IF(J8&gt;1,"SELF-SERVING","SELF-SACRIFICING")))</f>
        <v>SELF-SACRIFICING</v>
      </c>
    </row>
    <row r="9" customFormat="false" ht="14.25" hidden="false" customHeight="false" outlineLevel="0" collapsed="false">
      <c r="A9" s="54" t="s">
        <v>99</v>
      </c>
      <c r="C9" s="83" t="n">
        <v>0</v>
      </c>
      <c r="D9" s="83" t="n">
        <v>0</v>
      </c>
      <c r="E9" s="83" t="n">
        <v>3</v>
      </c>
      <c r="G9" s="83" t="n">
        <v>3</v>
      </c>
      <c r="H9" s="83" t="n">
        <v>0</v>
      </c>
      <c r="I9" s="83" t="n">
        <v>0</v>
      </c>
      <c r="J9" s="45" t="n">
        <f aca="false">(C9+D9+E9)-(G9+H9+I9)</f>
        <v>0</v>
      </c>
      <c r="K9" s="84" t="str">
        <f aca="false">IF(AND(C9="",G9=""),"",IF(ABS(J9)&lt;=1,"RECIPROCAL",IF(J9&gt;1,"SELF-SERVING","SELF-SACRIFICING")))</f>
        <v>RECIPROCAL</v>
      </c>
    </row>
    <row r="10" customFormat="false" ht="14.25" hidden="false" customHeight="false" outlineLevel="0" collapsed="false">
      <c r="A10" s="54" t="s">
        <v>100</v>
      </c>
      <c r="C10" s="83" t="n">
        <v>3</v>
      </c>
      <c r="D10" s="83" t="n">
        <v>0</v>
      </c>
      <c r="E10" s="83" t="n">
        <v>0</v>
      </c>
      <c r="G10" s="83" t="n">
        <v>0</v>
      </c>
      <c r="H10" s="83" t="n">
        <v>3</v>
      </c>
      <c r="I10" s="83" t="n">
        <v>3</v>
      </c>
      <c r="J10" s="45" t="n">
        <f aca="false">(C10+D10+E10)-(G10+H10+I10)</f>
        <v>-3</v>
      </c>
      <c r="K10" s="84" t="str">
        <f aca="false">IF(AND(C10="",G10=""),"",IF(ABS(J10)&lt;=1,"RECIPROCAL",IF(J10&gt;1,"SELF-SERVING","SELF-SACRIFICING")))</f>
        <v>SELF-SACRIFICING</v>
      </c>
    </row>
    <row r="11" customFormat="false" ht="14.25" hidden="false" customHeight="false" outlineLevel="0" collapsed="false">
      <c r="A11" s="54" t="s">
        <v>101</v>
      </c>
      <c r="C11" s="83" t="n">
        <v>0</v>
      </c>
      <c r="D11" s="83" t="n">
        <v>3</v>
      </c>
      <c r="E11" s="83" t="n">
        <v>2</v>
      </c>
      <c r="G11" s="83" t="n">
        <v>3</v>
      </c>
      <c r="H11" s="83" t="n">
        <v>0</v>
      </c>
      <c r="I11" s="83" t="n">
        <v>2</v>
      </c>
      <c r="J11" s="45" t="n">
        <f aca="false">(C11+D11+E11)-(G11+H11+I11)</f>
        <v>0</v>
      </c>
      <c r="K11" s="84" t="str">
        <f aca="false">IF(AND(C11="",G11=""),"",IF(ABS(J11)&lt;=1,"RECIPROCAL",IF(J11&gt;1,"SELF-SERVING","SELF-SACRIFICING")))</f>
        <v>RECIPROCAL</v>
      </c>
    </row>
    <row r="12" customFormat="false" ht="14.25" hidden="false" customHeight="false" outlineLevel="0" collapsed="false">
      <c r="A12" s="54" t="s">
        <v>102</v>
      </c>
      <c r="C12" s="83" t="n">
        <v>3</v>
      </c>
      <c r="D12" s="83" t="n">
        <v>0</v>
      </c>
      <c r="E12" s="83" t="n">
        <v>1</v>
      </c>
      <c r="G12" s="83" t="n">
        <v>0</v>
      </c>
      <c r="H12" s="83" t="n">
        <v>3</v>
      </c>
      <c r="I12" s="83" t="n">
        <v>3</v>
      </c>
      <c r="J12" s="45" t="n">
        <f aca="false">(C12+D12+E12)-(G12+H12+I12)</f>
        <v>-2</v>
      </c>
      <c r="K12" s="84" t="str">
        <f aca="false">IF(AND(C12="",G12=""),"",IF(ABS(J12)&lt;=1,"RECIPROCAL",IF(J12&gt;1,"SELF-SERVING","SELF-SACRIFICING")))</f>
        <v>SELF-SACRIFICING</v>
      </c>
    </row>
    <row r="13" customFormat="false" ht="14.25" hidden="false" customHeight="false" outlineLevel="0" collapsed="false">
      <c r="A13" s="54" t="s">
        <v>103</v>
      </c>
      <c r="C13" s="83" t="n">
        <v>1</v>
      </c>
      <c r="D13" s="83" t="n">
        <v>3</v>
      </c>
      <c r="E13" s="83" t="n">
        <v>0</v>
      </c>
      <c r="G13" s="83" t="n">
        <v>2</v>
      </c>
      <c r="H13" s="83" t="n">
        <v>0</v>
      </c>
      <c r="I13" s="83" t="n">
        <v>3</v>
      </c>
      <c r="J13" s="45" t="n">
        <f aca="false">(C13+D13+E13)-(G13+H13+I13)</f>
        <v>-1</v>
      </c>
      <c r="K13" s="84" t="str">
        <f aca="false">IF(AND(C13="",G13=""),"",IF(ABS(J13)&lt;=1,"RECIPROCAL",IF(J13&gt;1,"SELF-SERVING","SELF-SACRIFICING")))</f>
        <v>RECIPROCAL</v>
      </c>
    </row>
    <row r="14" customFormat="false" ht="14.25" hidden="false" customHeight="false" outlineLevel="0" collapsed="false">
      <c r="A14" s="54" t="s">
        <v>104</v>
      </c>
      <c r="C14" s="83" t="n">
        <v>2</v>
      </c>
      <c r="D14" s="83" t="n">
        <v>0</v>
      </c>
      <c r="E14" s="83" t="n">
        <v>3</v>
      </c>
      <c r="G14" s="83" t="n">
        <v>0</v>
      </c>
      <c r="H14" s="83" t="n">
        <v>3</v>
      </c>
      <c r="I14" s="83" t="n">
        <v>0</v>
      </c>
      <c r="J14" s="45" t="n">
        <f aca="false">(C14+D14+E14)-(G14+H14+I14)</f>
        <v>2</v>
      </c>
      <c r="K14" s="84" t="str">
        <f aca="false">IF(AND(C14="",G14=""),"",IF(ABS(J14)&lt;=1,"RECIPROCAL",IF(J14&gt;1,"SELF-SERVING","SELF-SACRIFICING")))</f>
        <v>SELF-SERVING</v>
      </c>
    </row>
    <row r="15" customFormat="false" ht="14.25" hidden="false" customHeight="false" outlineLevel="0" collapsed="false">
      <c r="A15" s="85" t="s">
        <v>105</v>
      </c>
      <c r="C15" s="83"/>
      <c r="D15" s="83"/>
      <c r="E15" s="83"/>
      <c r="G15" s="83"/>
      <c r="H15" s="83"/>
      <c r="I15" s="83"/>
      <c r="J15" s="45" t="n">
        <f aca="false">(C15+D15+E15)-(G15+H15+I15)</f>
        <v>0</v>
      </c>
      <c r="K15" s="84" t="str">
        <f aca="false">IF(AND(C15="",G15=""),"",IF(ABS(J15)&lt;=1,"RECIPROCAL",IF(J15&gt;1,"SELF-SERVING","SELF-SACRIFICING")))</f>
        <v/>
      </c>
    </row>
    <row r="16" customFormat="false" ht="14.25" hidden="false" customHeight="false" outlineLevel="0" collapsed="false">
      <c r="A16" s="85" t="s">
        <v>105</v>
      </c>
      <c r="C16" s="83"/>
      <c r="D16" s="83"/>
      <c r="E16" s="83"/>
      <c r="G16" s="83"/>
      <c r="H16" s="83"/>
      <c r="I16" s="83"/>
      <c r="J16" s="45" t="n">
        <f aca="false">(C16+D16+E16)-(G16+H16+I16)</f>
        <v>0</v>
      </c>
      <c r="K16" s="84" t="str">
        <f aca="false">IF(AND(C16="",G16=""),"",IF(ABS(J16)&lt;=1,"RECIPROCAL",IF(J16&gt;1,"SELF-SERVING","SELF-SACRIFICING")))</f>
        <v/>
      </c>
    </row>
    <row r="18" customFormat="false" ht="15" hidden="false" customHeight="true" outlineLevel="0" collapsed="false">
      <c r="A18" s="86" t="s">
        <v>106</v>
      </c>
    </row>
    <row r="19" customFormat="false" ht="14.25" hidden="false" customHeight="false" outlineLevel="0" collapsed="false">
      <c r="A19" s="87" t="s">
        <v>107</v>
      </c>
    </row>
    <row r="20" customFormat="false" ht="14.25" hidden="false" customHeight="false" outlineLevel="0" collapsed="false">
      <c r="A20" s="54" t="s">
        <v>108</v>
      </c>
    </row>
    <row r="22" customFormat="false" ht="14.25" hidden="false" customHeight="false" outlineLevel="0" collapsed="false">
      <c r="A22" s="88" t="s">
        <v>109</v>
      </c>
    </row>
    <row r="23" customFormat="false" ht="14.25" hidden="false" customHeight="false" outlineLevel="0" collapsed="false">
      <c r="A23" s="89" t="s">
        <v>110</v>
      </c>
      <c r="C23" s="90" t="s">
        <v>111</v>
      </c>
      <c r="E23" s="90" t="s">
        <v>112</v>
      </c>
      <c r="G23" s="90" t="s">
        <v>113</v>
      </c>
    </row>
    <row r="24" customFormat="false" ht="14.25" hidden="false" customHeight="false" outlineLevel="0" collapsed="false">
      <c r="A24" s="0" t="s">
        <v>114</v>
      </c>
      <c r="C24" s="91" t="s">
        <v>115</v>
      </c>
      <c r="E24" s="92" t="s">
        <v>116</v>
      </c>
      <c r="G24" s="92" t="s">
        <v>117</v>
      </c>
    </row>
    <row r="25" customFormat="false" ht="28.35" hidden="false" customHeight="false" outlineLevel="0" collapsed="false">
      <c r="A25" s="0" t="s">
        <v>118</v>
      </c>
      <c r="C25" s="91" t="s">
        <v>119</v>
      </c>
      <c r="E25" s="92" t="s">
        <v>120</v>
      </c>
      <c r="G25" s="92" t="s">
        <v>121</v>
      </c>
    </row>
    <row r="26" customFormat="false" ht="28.5" hidden="false" customHeight="true" outlineLevel="0" collapsed="false">
      <c r="A26" s="0" t="s">
        <v>122</v>
      </c>
      <c r="C26" s="91" t="s">
        <v>123</v>
      </c>
      <c r="E26" s="92" t="s">
        <v>124</v>
      </c>
      <c r="G26" s="92" t="s">
        <v>125</v>
      </c>
    </row>
    <row r="28" customFormat="false" ht="14.25" hidden="false" customHeight="false" outlineLevel="0" collapsed="false">
      <c r="A28" s="88" t="s">
        <v>126</v>
      </c>
    </row>
    <row r="29" customFormat="false" ht="14.25" hidden="false" customHeight="false" outlineLevel="0" collapsed="false">
      <c r="A29" s="0" t="s">
        <v>127</v>
      </c>
    </row>
    <row r="30" customFormat="false" ht="14.25" hidden="false" customHeight="false" outlineLevel="0" collapsed="false">
      <c r="A30" s="0" t="s">
        <v>128</v>
      </c>
    </row>
    <row r="31" customFormat="false" ht="14.25" hidden="false" customHeight="false" outlineLevel="0" collapsed="false">
      <c r="A31" s="0" t="s">
        <v>129</v>
      </c>
    </row>
    <row r="32" customFormat="false" ht="14.25" hidden="false" customHeight="false" outlineLevel="0" collapsed="false">
      <c r="A32" s="0" t="s">
        <v>130</v>
      </c>
    </row>
    <row r="33" customFormat="false" ht="14.25" hidden="false" customHeight="false" outlineLevel="0" collapsed="false">
      <c r="A33" s="0" t="s">
        <v>131</v>
      </c>
    </row>
    <row r="35" customFormat="false" ht="14.25" hidden="false" customHeight="false" outlineLevel="0" collapsed="false">
      <c r="A35" s="93" t="s">
        <v>132</v>
      </c>
    </row>
  </sheetData>
  <conditionalFormatting sqref="K7:K16">
    <cfRule type="containsText" priority="2" operator="containsText" aboveAverage="0" equalAverage="0" bottom="0" percent="0" rank="0" text="RECIPROCAL" dxfId="4">
      <formula>NOT(ISERROR(SEARCH("RECIPROCAL",K7)))</formula>
    </cfRule>
    <cfRule type="containsText" priority="3" operator="containsText" aboveAverage="0" equalAverage="0" bottom="0" percent="0" rank="0" text="SELF-SERVING" dxfId="5">
      <formula>NOT(ISERROR(SEARCH("SELF-SERVING",K7)))</formula>
    </cfRule>
    <cfRule type="containsText" priority="4" operator="containsText" aboveAverage="0" equalAverage="0" bottom="0" percent="0" rank="0" text="SELF-SACRIFICING" dxfId="6">
      <formula>NOT(ISERROR(SEARCH("SELF-SACRIFICING",K7)))</formula>
    </cfRule>
  </conditionalFormatting>
  <conditionalFormatting sqref="J7:J16">
    <cfRule type="colorScale" priority="5">
      <colorScale>
        <cfvo type="min" val="0"/>
        <cfvo type="num" val="0"/>
        <cfvo type="max" val="0"/>
        <color rgb="FF1F4E79"/>
        <color rgb="FFFFFFFF"/>
        <color rgb="FFC00000"/>
      </colorScale>
    </cfRule>
  </conditionalFormatting>
  <dataValidations count="1">
    <dataValidation allowBlank="true" error="Enter 0-3 (0=None, 3=Maximum)" errorStyle="stop" errorTitle="Invalid Score" operator="between" showDropDown="false" showErrorMessage="true" showInputMessage="true" sqref="C7:E16 G7:I16" type="whole">
      <formula1>0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0.78"/>
    <col collapsed="false" customWidth="true" hidden="false" outlineLevel="0" max="4" min="2" style="0" width="18.56"/>
    <col collapsed="false" customWidth="true" hidden="false" outlineLevel="0" max="5" min="5" style="0" width="22.22"/>
  </cols>
  <sheetData>
    <row r="1" customFormat="false" ht="18" hidden="false" customHeight="true" outlineLevel="0" collapsed="false">
      <c r="A1" s="1" t="s">
        <v>133</v>
      </c>
    </row>
    <row r="2" customFormat="false" ht="14.25" hidden="false" customHeight="false" outlineLevel="0" collapsed="false">
      <c r="A2" s="75" t="s">
        <v>134</v>
      </c>
    </row>
    <row r="4" customFormat="false" ht="15" hidden="false" customHeight="true" outlineLevel="0" collapsed="false">
      <c r="A4" s="86" t="s">
        <v>135</v>
      </c>
    </row>
    <row r="5" customFormat="false" ht="14.25" hidden="false" customHeight="false" outlineLevel="0" collapsed="false">
      <c r="A5" s="0" t="s">
        <v>136</v>
      </c>
    </row>
    <row r="6" customFormat="false" ht="14.25" hidden="false" customHeight="false" outlineLevel="0" collapsed="false">
      <c r="A6" s="0" t="s">
        <v>137</v>
      </c>
    </row>
    <row r="8" customFormat="false" ht="15" hidden="false" customHeight="true" outlineLevel="0" collapsed="false">
      <c r="A8" s="86" t="s">
        <v>138</v>
      </c>
    </row>
    <row r="9" customFormat="false" ht="14.25" hidden="false" customHeight="false" outlineLevel="0" collapsed="false">
      <c r="A9" s="75" t="s">
        <v>139</v>
      </c>
    </row>
    <row r="11" customFormat="false" ht="14.25" hidden="false" customHeight="false" outlineLevel="0" collapsed="false">
      <c r="A11" s="94" t="s">
        <v>140</v>
      </c>
      <c r="B11" s="90" t="s">
        <v>141</v>
      </c>
      <c r="C11" s="90" t="s">
        <v>142</v>
      </c>
      <c r="D11" s="90" t="s">
        <v>143</v>
      </c>
      <c r="E11" s="90" t="s">
        <v>144</v>
      </c>
    </row>
    <row r="12" customFormat="false" ht="14.25" hidden="false" customHeight="false" outlineLevel="0" collapsed="false">
      <c r="A12" s="0" t="s">
        <v>145</v>
      </c>
      <c r="B12" s="95" t="s">
        <v>146</v>
      </c>
      <c r="C12" s="96"/>
      <c r="D12" s="96"/>
      <c r="E12" s="97" t="str">
        <f aca="false">IF(AND(C12&lt;&gt;"",D12&lt;&gt;""),D12-C12,"")</f>
        <v/>
      </c>
    </row>
    <row r="13" customFormat="false" ht="14.25" hidden="false" customHeight="false" outlineLevel="0" collapsed="false">
      <c r="A13" s="0" t="s">
        <v>147</v>
      </c>
      <c r="B13" s="95" t="s">
        <v>148</v>
      </c>
      <c r="C13" s="96"/>
      <c r="D13" s="96"/>
      <c r="E13" s="0" t="str">
        <f aca="false">IF(AND(C13&lt;&gt;"",D13&lt;&gt;""),D13-C13,"")</f>
        <v/>
      </c>
    </row>
    <row r="14" customFormat="false" ht="14.25" hidden="false" customHeight="false" outlineLevel="0" collapsed="false">
      <c r="A14" s="0" t="s">
        <v>149</v>
      </c>
      <c r="B14" s="95" t="s">
        <v>150</v>
      </c>
      <c r="C14" s="96"/>
      <c r="D14" s="96"/>
      <c r="E14" s="0" t="str">
        <f aca="false">IF(AND(C14&lt;&gt;"",D14&lt;&gt;""),D14-C14,"")</f>
        <v/>
      </c>
    </row>
    <row r="15" customFormat="false" ht="14.25" hidden="false" customHeight="false" outlineLevel="0" collapsed="false">
      <c r="A15" s="0" t="s">
        <v>151</v>
      </c>
      <c r="B15" s="95" t="s">
        <v>152</v>
      </c>
      <c r="C15" s="96"/>
      <c r="D15" s="96"/>
      <c r="E15" s="0" t="str">
        <f aca="false">IF(AND(C15&lt;&gt;"",D15&lt;&gt;""),D15-C15,"")</f>
        <v/>
      </c>
    </row>
    <row r="16" customFormat="false" ht="14.25" hidden="false" customHeight="false" outlineLevel="0" collapsed="false">
      <c r="A16" s="0" t="s">
        <v>153</v>
      </c>
      <c r="B16" s="95" t="s">
        <v>154</v>
      </c>
      <c r="C16" s="96"/>
      <c r="D16" s="96"/>
      <c r="E16" s="0" t="str">
        <f aca="false">IF(AND(C16&lt;&gt;"",D16&lt;&gt;""),D16-C16,"")</f>
        <v/>
      </c>
    </row>
    <row r="17" customFormat="false" ht="14.25" hidden="false" customHeight="false" outlineLevel="0" collapsed="false">
      <c r="A17" s="54" t="s">
        <v>155</v>
      </c>
      <c r="C17" s="98" t="n">
        <f aca="false">SUM(C12:C16)</f>
        <v>0</v>
      </c>
      <c r="D17" s="98" t="n">
        <f aca="false">SUM(D12:D16)</f>
        <v>0</v>
      </c>
      <c r="E17" s="99" t="str">
        <f aca="false">IF(AND(C17&lt;&gt;0,D17&lt;&gt;0),D17-C17,"")</f>
        <v/>
      </c>
    </row>
    <row r="19" customFormat="false" ht="14.25" hidden="false" customHeight="false" outlineLevel="0" collapsed="false">
      <c r="A19" s="100" t="s">
        <v>156</v>
      </c>
      <c r="B19" s="101" t="s">
        <v>141</v>
      </c>
      <c r="C19" s="102" t="s">
        <v>142</v>
      </c>
      <c r="D19" s="102" t="s">
        <v>143</v>
      </c>
      <c r="E19" s="102" t="s">
        <v>144</v>
      </c>
    </row>
    <row r="20" customFormat="false" ht="14.25" hidden="false" customHeight="false" outlineLevel="0" collapsed="false">
      <c r="A20" s="0" t="s">
        <v>157</v>
      </c>
      <c r="B20" s="95" t="s">
        <v>158</v>
      </c>
      <c r="C20" s="96"/>
      <c r="D20" s="96"/>
      <c r="E20" s="97" t="str">
        <f aca="false">IF(AND(C20&lt;&gt;"",D20&lt;&gt;""),D20-C20,"")</f>
        <v/>
      </c>
    </row>
    <row r="21" customFormat="false" ht="14.25" hidden="false" customHeight="false" outlineLevel="0" collapsed="false">
      <c r="A21" s="0" t="s">
        <v>159</v>
      </c>
      <c r="B21" s="95" t="s">
        <v>160</v>
      </c>
      <c r="C21" s="96"/>
      <c r="D21" s="96"/>
      <c r="E21" s="0" t="str">
        <f aca="false">IF(AND(C21&lt;&gt;"",D21&lt;&gt;""),D21-C21,"")</f>
        <v/>
      </c>
    </row>
    <row r="22" customFormat="false" ht="14.25" hidden="false" customHeight="false" outlineLevel="0" collapsed="false">
      <c r="A22" s="0" t="s">
        <v>161</v>
      </c>
      <c r="B22" s="95" t="s">
        <v>162</v>
      </c>
      <c r="C22" s="96"/>
      <c r="D22" s="96"/>
      <c r="E22" s="0" t="str">
        <f aca="false">IF(AND(C22&lt;&gt;"",D22&lt;&gt;""),D22-C22,"")</f>
        <v/>
      </c>
    </row>
    <row r="23" customFormat="false" ht="14.25" hidden="false" customHeight="false" outlineLevel="0" collapsed="false">
      <c r="A23" s="0" t="s">
        <v>163</v>
      </c>
      <c r="B23" s="95" t="s">
        <v>164</v>
      </c>
      <c r="C23" s="96"/>
      <c r="D23" s="96"/>
      <c r="E23" s="0" t="str">
        <f aca="false">IF(AND(C23&lt;&gt;"",D23&lt;&gt;""),D23-C23,"")</f>
        <v/>
      </c>
    </row>
    <row r="24" customFormat="false" ht="14.25" hidden="false" customHeight="false" outlineLevel="0" collapsed="false">
      <c r="A24" s="0" t="s">
        <v>165</v>
      </c>
      <c r="B24" s="95" t="s">
        <v>166</v>
      </c>
      <c r="C24" s="96"/>
      <c r="D24" s="96"/>
      <c r="E24" s="0" t="str">
        <f aca="false">IF(AND(C24&lt;&gt;"",D24&lt;&gt;""),D24-C24,"")</f>
        <v/>
      </c>
    </row>
    <row r="25" customFormat="false" ht="14.25" hidden="false" customHeight="false" outlineLevel="0" collapsed="false">
      <c r="A25" s="54" t="s">
        <v>167</v>
      </c>
      <c r="C25" s="98" t="n">
        <f aca="false">SUM(C20:C24)</f>
        <v>0</v>
      </c>
      <c r="D25" s="98" t="n">
        <f aca="false">SUM(D20:D24)</f>
        <v>0</v>
      </c>
      <c r="E25" s="99" t="str">
        <f aca="false">IF(AND(C25&lt;&gt;0,D25&lt;&gt;0),D25-C25,"")</f>
        <v/>
      </c>
    </row>
    <row r="27" customFormat="false" ht="15" hidden="false" customHeight="true" outlineLevel="0" collapsed="false">
      <c r="A27" s="86" t="s">
        <v>168</v>
      </c>
    </row>
    <row r="29" customFormat="false" ht="14.25" hidden="false" customHeight="false" outlineLevel="0" collapsed="false">
      <c r="A29" s="76" t="s">
        <v>169</v>
      </c>
      <c r="C29" s="80" t="s">
        <v>142</v>
      </c>
      <c r="D29" s="80" t="s">
        <v>143</v>
      </c>
      <c r="E29" s="80" t="s">
        <v>170</v>
      </c>
    </row>
    <row r="30" customFormat="false" ht="15" hidden="false" customHeight="true" outlineLevel="0" collapsed="false">
      <c r="A30" s="0" t="s">
        <v>171</v>
      </c>
      <c r="C30" s="103" t="str">
        <f aca="false">IF(C17=0,"No data",C25/C17)</f>
        <v>No data</v>
      </c>
      <c r="D30" s="103" t="str">
        <f aca="false">IF(D17=0,"No data",D25/D17)</f>
        <v>No data</v>
      </c>
      <c r="E30" s="45" t="str">
        <f aca="false">IF(OR(C30="No data",D30="No data"),"Need data",IF(D30&gt;C30,"↑ COHERENCE DECLINING",IF(D30&lt;C30,"↓ COHERENCE IMPROVING","↔ STABLE")))</f>
        <v>Need data</v>
      </c>
    </row>
    <row r="32" customFormat="false" ht="14.25" hidden="false" customHeight="false" outlineLevel="0" collapsed="false">
      <c r="A32" s="0" t="s">
        <v>172</v>
      </c>
      <c r="C32" s="104" t="str">
        <f aca="false">IF(C17+C25=0,"No data",C17/(C17+C25))</f>
        <v>No data</v>
      </c>
      <c r="D32" s="104" t="str">
        <f aca="false">IF(D17+D25=0,"No data",D17/(D17+D25))</f>
        <v>No data</v>
      </c>
      <c r="E32" s="91" t="str">
        <f aca="false">IF(OR(C32="No data",D32="No data"),"Need data",IF(D32&lt;C32,"↑ Voluntary declining",IF(D32&gt;C32,"↓ Voluntary growing","↔ Stable")))</f>
        <v>Need data</v>
      </c>
    </row>
    <row r="34" customFormat="false" ht="14.25" hidden="false" customHeight="false" outlineLevel="0" collapsed="false">
      <c r="A34" s="54" t="s">
        <v>173</v>
      </c>
      <c r="C34" s="91" t="str">
        <f aca="false">IF(C17=0,"No data",IF(C17&gt;C25/2,"YES — Voluntary &gt; 33% of total","WEAK — Voluntary &lt; 33% of total"))</f>
        <v>No data</v>
      </c>
      <c r="D34" s="91" t="str">
        <f aca="false">IF(D17=0,"No data",IF(D17&gt;D25/2,"YES — Voluntary &gt; 33% of total","WEAK — Voluntary &lt; 33% of total"))</f>
        <v>No data</v>
      </c>
    </row>
    <row r="36" customFormat="false" ht="14.25" hidden="false" customHeight="false" outlineLevel="0" collapsed="false">
      <c r="A36" s="88" t="s">
        <v>174</v>
      </c>
    </row>
    <row r="37" customFormat="false" ht="14.25" hidden="false" customHeight="false" outlineLevel="0" collapsed="false">
      <c r="A37" s="0" t="s">
        <v>175</v>
      </c>
    </row>
    <row r="38" customFormat="false" ht="14.25" hidden="false" customHeight="false" outlineLevel="0" collapsed="false">
      <c r="A38" s="0" t="s">
        <v>176</v>
      </c>
    </row>
    <row r="39" customFormat="false" ht="14.25" hidden="false" customHeight="false" outlineLevel="0" collapsed="false">
      <c r="A39" s="0" t="s">
        <v>177</v>
      </c>
    </row>
    <row r="41" customFormat="false" ht="15" hidden="false" customHeight="true" outlineLevel="0" collapsed="false">
      <c r="A41" s="86" t="s">
        <v>178</v>
      </c>
    </row>
    <row r="42" customFormat="false" ht="14.25" hidden="false" customHeight="false" outlineLevel="0" collapsed="false">
      <c r="A42" s="0" t="s">
        <v>179</v>
      </c>
      <c r="D42" s="54" t="str">
        <f aca="false">IF(D30="No data","Enter data above to calculate",IF(D30&lt;1,"HIGH COHERENCE — Voluntary cost-bearing dominates",IF(D30&lt;2,"MODERATE — Coercion rising, voluntary declining","LOW COHERENCE — Voluntary cost-bearer absent. Full trilemma.")))</f>
        <v>Enter data above to calculate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6.33"/>
    <col collapsed="false" customWidth="true" hidden="false" outlineLevel="0" max="8" min="2" style="0" width="16.66"/>
  </cols>
  <sheetData>
    <row r="1" customFormat="false" ht="18" hidden="false" customHeight="true" outlineLevel="0" collapsed="false">
      <c r="A1" s="1" t="s">
        <v>180</v>
      </c>
    </row>
    <row r="2" customFormat="false" ht="14.25" hidden="false" customHeight="false" outlineLevel="0" collapsed="false">
      <c r="A2" s="75" t="s">
        <v>181</v>
      </c>
    </row>
    <row r="4" customFormat="false" ht="15" hidden="false" customHeight="true" outlineLevel="0" collapsed="false">
      <c r="A4" s="86" t="s">
        <v>182</v>
      </c>
    </row>
    <row r="6" customFormat="false" ht="14.25" hidden="false" customHeight="false" outlineLevel="0" collapsed="false">
      <c r="A6" s="76" t="s">
        <v>183</v>
      </c>
      <c r="B6" s="80" t="s">
        <v>184</v>
      </c>
      <c r="C6" s="80" t="s">
        <v>185</v>
      </c>
      <c r="D6" s="80" t="s">
        <v>186</v>
      </c>
      <c r="E6" s="80" t="s">
        <v>187</v>
      </c>
      <c r="F6" s="80" t="s">
        <v>188</v>
      </c>
      <c r="G6" s="80" t="s">
        <v>189</v>
      </c>
    </row>
    <row r="7" customFormat="false" ht="14.25" hidden="false" customHeight="false" outlineLevel="0" collapsed="false">
      <c r="A7" s="94" t="s">
        <v>140</v>
      </c>
      <c r="B7" s="105"/>
      <c r="C7" s="105"/>
      <c r="D7" s="105"/>
      <c r="E7" s="105"/>
      <c r="F7" s="105"/>
      <c r="G7" s="105"/>
    </row>
    <row r="8" customFormat="false" ht="14.25" hidden="false" customHeight="false" outlineLevel="0" collapsed="false">
      <c r="A8" s="0" t="s">
        <v>190</v>
      </c>
      <c r="B8" s="106"/>
      <c r="C8" s="106"/>
      <c r="D8" s="106"/>
      <c r="E8" s="106"/>
      <c r="F8" s="106"/>
      <c r="G8" s="91" t="str">
        <f aca="false">IF(COUNTA(B8:F8)&lt;2,"",IF(F8&lt;B8,"↓ Declining",IF(F8&gt;B8,"↑ Growing","↔ Stable")))</f>
        <v/>
      </c>
    </row>
    <row r="9" customFormat="false" ht="14.25" hidden="false" customHeight="false" outlineLevel="0" collapsed="false">
      <c r="A9" s="0" t="s">
        <v>191</v>
      </c>
      <c r="B9" s="106"/>
      <c r="C9" s="106"/>
      <c r="D9" s="106"/>
      <c r="E9" s="106"/>
      <c r="F9" s="106"/>
      <c r="G9" s="0" t="str">
        <f aca="false">IF(COUNTA(B9:F9)&lt;2,"",IF(F9&lt;B9,"↓ Declining",IF(F9&gt;B9,"↑ Growing","↔ Stable")))</f>
        <v/>
      </c>
    </row>
    <row r="10" customFormat="false" ht="14.25" hidden="false" customHeight="false" outlineLevel="0" collapsed="false">
      <c r="A10" s="0" t="s">
        <v>192</v>
      </c>
      <c r="B10" s="106"/>
      <c r="C10" s="106"/>
      <c r="D10" s="106"/>
      <c r="E10" s="106"/>
      <c r="F10" s="106"/>
      <c r="G10" s="0" t="str">
        <f aca="false">IF(COUNTA(B10:F10)&lt;2,"",IF(F10&lt;B10,"↓ Declining",IF(F10&gt;B10,"↑ Growing","↔ Stable")))</f>
        <v/>
      </c>
    </row>
    <row r="11" customFormat="false" ht="14.25" hidden="false" customHeight="false" outlineLevel="0" collapsed="false">
      <c r="A11" s="0" t="s">
        <v>193</v>
      </c>
      <c r="B11" s="106"/>
      <c r="C11" s="106"/>
      <c r="D11" s="106"/>
      <c r="E11" s="106"/>
      <c r="F11" s="106"/>
      <c r="G11" s="0" t="str">
        <f aca="false">IF(COUNTA(B11:F11)&lt;2,"",IF(F11&lt;B11,"↓ Declining",IF(F11&gt;B11,"↑ Growing","↔ Stable")))</f>
        <v/>
      </c>
    </row>
    <row r="12" customFormat="false" ht="14.25" hidden="false" customHeight="false" outlineLevel="0" collapsed="false">
      <c r="A12" s="0" t="s">
        <v>194</v>
      </c>
      <c r="B12" s="106"/>
      <c r="C12" s="106"/>
      <c r="D12" s="106"/>
      <c r="E12" s="106"/>
      <c r="F12" s="106"/>
      <c r="G12" s="0" t="str">
        <f aca="false">IF(COUNTA(B12:F12)&lt;2,"",IF(F12&lt;B12,"↓ Declining",IF(F12&gt;B12,"↑ Growing","↔ Stable")))</f>
        <v/>
      </c>
    </row>
    <row r="14" customFormat="false" ht="14.25" hidden="false" customHeight="false" outlineLevel="0" collapsed="false">
      <c r="A14" s="100" t="s">
        <v>156</v>
      </c>
      <c r="B14" s="107"/>
      <c r="C14" s="107"/>
      <c r="D14" s="107"/>
      <c r="E14" s="107"/>
      <c r="F14" s="107"/>
      <c r="G14" s="107"/>
    </row>
    <row r="15" customFormat="false" ht="14.25" hidden="false" customHeight="false" outlineLevel="0" collapsed="false">
      <c r="A15" s="0" t="s">
        <v>195</v>
      </c>
      <c r="B15" s="106"/>
      <c r="C15" s="106"/>
      <c r="D15" s="106"/>
      <c r="E15" s="106"/>
      <c r="F15" s="106"/>
      <c r="G15" s="91" t="str">
        <f aca="false">IF(COUNTA(B15:F15)&lt;2,"",IF(F15&gt;B15,"↑ Growing",IF(F15&lt;B15,"↓ Declining","↔ Stable")))</f>
        <v/>
      </c>
    </row>
    <row r="16" customFormat="false" ht="14.25" hidden="false" customHeight="false" outlineLevel="0" collapsed="false">
      <c r="A16" s="0" t="s">
        <v>196</v>
      </c>
      <c r="B16" s="108"/>
      <c r="C16" s="108"/>
      <c r="D16" s="108"/>
      <c r="E16" s="108"/>
      <c r="F16" s="108"/>
      <c r="G16" s="0" t="str">
        <f aca="false">IF(COUNTA(B16:F16)&lt;2,"",IF(F16&gt;B16,"↑ Growing",IF(F16&lt;B16,"↓ Declining","↔ Stable")))</f>
        <v/>
      </c>
    </row>
    <row r="17" customFormat="false" ht="14.25" hidden="false" customHeight="false" outlineLevel="0" collapsed="false">
      <c r="A17" s="0" t="s">
        <v>197</v>
      </c>
      <c r="B17" s="109"/>
      <c r="C17" s="109"/>
      <c r="D17" s="109"/>
      <c r="E17" s="109"/>
      <c r="F17" s="109"/>
      <c r="G17" s="0" t="str">
        <f aca="false">IF(COUNTA(B17:F17)&lt;2,"",IF(F17&gt;B17,"↑ Growing",IF(F17&lt;B17,"↓ Declining","↔ Stable")))</f>
        <v/>
      </c>
    </row>
    <row r="18" customFormat="false" ht="14.25" hidden="false" customHeight="false" outlineLevel="0" collapsed="false">
      <c r="A18" s="0" t="s">
        <v>198</v>
      </c>
      <c r="B18" s="109"/>
      <c r="C18" s="109"/>
      <c r="D18" s="109"/>
      <c r="E18" s="109"/>
      <c r="F18" s="109"/>
      <c r="G18" s="0" t="str">
        <f aca="false">IF(COUNTA(B18:F18)&lt;2,"",IF(F18&gt;B18,"↑ Growing",IF(F18&lt;B18,"↓ Declining","↔ Stable")))</f>
        <v/>
      </c>
    </row>
    <row r="19" customFormat="false" ht="14.25" hidden="false" customHeight="false" outlineLevel="0" collapsed="false">
      <c r="A19" s="0" t="s">
        <v>199</v>
      </c>
      <c r="B19" s="108"/>
      <c r="C19" s="108"/>
      <c r="D19" s="108"/>
      <c r="E19" s="108"/>
      <c r="F19" s="108"/>
      <c r="G19" s="0" t="str">
        <f aca="false">IF(COUNTA(B19:F19)&lt;2,"",IF(F19&gt;B19,"↑ Growing",IF(F19&lt;B19,"↓ Declining","↔ Stable")))</f>
        <v/>
      </c>
    </row>
    <row r="21" customFormat="false" ht="15" hidden="false" customHeight="true" outlineLevel="0" collapsed="false">
      <c r="A21" s="86" t="s">
        <v>200</v>
      </c>
    </row>
    <row r="23" customFormat="false" ht="14.25" hidden="false" customHeight="false" outlineLevel="0" collapsed="false">
      <c r="A23" s="76" t="s">
        <v>201</v>
      </c>
      <c r="B23" s="80" t="s">
        <v>202</v>
      </c>
      <c r="D23" s="80" t="s">
        <v>203</v>
      </c>
      <c r="F23" s="80" t="s">
        <v>204</v>
      </c>
    </row>
    <row r="24" customFormat="false" ht="14.25" hidden="false" customHeight="false" outlineLevel="0" collapsed="false">
      <c r="A24" s="0" t="s">
        <v>184</v>
      </c>
      <c r="B24" s="0" t="s">
        <v>205</v>
      </c>
      <c r="D24" s="0" t="s">
        <v>206</v>
      </c>
      <c r="F24" s="110" t="s">
        <v>207</v>
      </c>
    </row>
    <row r="25" customFormat="false" ht="14.25" hidden="false" customHeight="false" outlineLevel="0" collapsed="false">
      <c r="A25" s="0" t="s">
        <v>185</v>
      </c>
      <c r="B25" s="0" t="s">
        <v>208</v>
      </c>
      <c r="D25" s="0" t="s">
        <v>209</v>
      </c>
      <c r="F25" s="111" t="s">
        <v>210</v>
      </c>
    </row>
    <row r="26" customFormat="false" ht="14.25" hidden="false" customHeight="false" outlineLevel="0" collapsed="false">
      <c r="A26" s="0" t="s">
        <v>186</v>
      </c>
      <c r="B26" s="0" t="s">
        <v>211</v>
      </c>
      <c r="D26" s="0" t="s">
        <v>212</v>
      </c>
      <c r="F26" s="112" t="s">
        <v>213</v>
      </c>
    </row>
    <row r="27" customFormat="false" ht="14.25" hidden="false" customHeight="false" outlineLevel="0" collapsed="false">
      <c r="A27" s="0" t="s">
        <v>187</v>
      </c>
      <c r="B27" s="0" t="s">
        <v>214</v>
      </c>
      <c r="D27" s="0" t="s">
        <v>215</v>
      </c>
      <c r="F27" s="112" t="s">
        <v>216</v>
      </c>
    </row>
    <row r="28" customFormat="false" ht="14.25" hidden="false" customHeight="false" outlineLevel="0" collapsed="false">
      <c r="A28" s="0" t="s">
        <v>188</v>
      </c>
      <c r="B28" s="0" t="s">
        <v>217</v>
      </c>
      <c r="D28" s="0" t="s">
        <v>218</v>
      </c>
      <c r="F28" s="113" t="s">
        <v>219</v>
      </c>
    </row>
    <row r="30" customFormat="false" ht="14.25" hidden="false" customHeight="false" outlineLevel="0" collapsed="false">
      <c r="A30" s="88" t="s">
        <v>220</v>
      </c>
    </row>
    <row r="31" customFormat="false" ht="14.25" hidden="false" customHeight="false" outlineLevel="0" collapsed="false">
      <c r="A31" s="0" t="s">
        <v>221</v>
      </c>
    </row>
    <row r="32" customFormat="false" ht="14.25" hidden="false" customHeight="false" outlineLevel="0" collapsed="false">
      <c r="A32" s="0" t="s">
        <v>222</v>
      </c>
    </row>
    <row r="33" customFormat="false" ht="14.25" hidden="false" customHeight="false" outlineLevel="0" collapsed="false">
      <c r="A33" s="93" t="s">
        <v>223</v>
      </c>
    </row>
    <row r="35" customFormat="false" ht="15" hidden="false" customHeight="true" outlineLevel="0" collapsed="false">
      <c r="A35" s="86" t="s">
        <v>224</v>
      </c>
    </row>
    <row r="36" customFormat="false" ht="14.25" hidden="false" customHeight="false" outlineLevel="0" collapsed="false">
      <c r="A36" s="0" t="s">
        <v>225</v>
      </c>
    </row>
    <row r="37" customFormat="false" ht="14.25" hidden="false" customHeight="false" outlineLevel="0" collapsed="false">
      <c r="A37" s="54" t="s">
        <v>226</v>
      </c>
    </row>
    <row r="38" customFormat="false" ht="14.25" hidden="false" customHeight="false" outlineLevel="0" collapsed="false">
      <c r="A38" s="88" t="s">
        <v>227</v>
      </c>
    </row>
    <row r="40" customFormat="false" ht="14.25" hidden="false" customHeight="false" outlineLevel="0" collapsed="false">
      <c r="A40" s="89" t="s">
        <v>228</v>
      </c>
      <c r="C40" s="90" t="s">
        <v>229</v>
      </c>
      <c r="E40" s="90" t="s">
        <v>230</v>
      </c>
      <c r="G40" s="90" t="s">
        <v>231</v>
      </c>
    </row>
    <row r="41" customFormat="false" ht="14.25" hidden="false" customHeight="false" outlineLevel="0" collapsed="false">
      <c r="A41" s="0" t="s">
        <v>232</v>
      </c>
      <c r="C41" s="0" t="s">
        <v>233</v>
      </c>
      <c r="E41" s="114"/>
      <c r="G41" s="114"/>
    </row>
    <row r="42" customFormat="false" ht="14.25" hidden="false" customHeight="false" outlineLevel="0" collapsed="false">
      <c r="A42" s="0" t="s">
        <v>234</v>
      </c>
      <c r="C42" s="0" t="s">
        <v>235</v>
      </c>
      <c r="E42" s="114"/>
      <c r="G42" s="114"/>
    </row>
    <row r="43" customFormat="false" ht="14.25" hidden="false" customHeight="false" outlineLevel="0" collapsed="false">
      <c r="A43" s="0" t="s">
        <v>236</v>
      </c>
      <c r="C43" s="0" t="s">
        <v>237</v>
      </c>
      <c r="E43" s="114"/>
      <c r="G43" s="114"/>
    </row>
    <row r="44" customFormat="false" ht="14.25" hidden="false" customHeight="false" outlineLevel="0" collapsed="false">
      <c r="A44" s="0" t="s">
        <v>238</v>
      </c>
      <c r="C44" s="0" t="s">
        <v>239</v>
      </c>
      <c r="E44" s="114"/>
      <c r="G44" s="114"/>
    </row>
    <row r="46" customFormat="false" ht="14.25" hidden="false" customHeight="false" outlineLevel="0" collapsed="false">
      <c r="A46" s="87" t="s">
        <v>240</v>
      </c>
    </row>
    <row r="47" customFormat="false" ht="14.25" hidden="false" customHeight="false" outlineLevel="0" collapsed="false">
      <c r="A47" s="115" t="s">
        <v>241</v>
      </c>
    </row>
    <row r="48" customFormat="false" ht="14.25" hidden="false" customHeight="false" outlineLevel="0" collapsed="false">
      <c r="A48" s="54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9.66"/>
    <col collapsed="false" customWidth="true" hidden="false" outlineLevel="0" max="2" min="2" style="0" width="18.56"/>
    <col collapsed="false" customWidth="true" hidden="false" outlineLevel="0" max="4" min="3" style="0" width="24.11"/>
    <col collapsed="false" customWidth="true" hidden="false" outlineLevel="0" max="5" min="5" style="0" width="14.78"/>
    <col collapsed="false" customWidth="true" hidden="false" outlineLevel="0" max="6" min="6" style="0" width="24.11"/>
    <col collapsed="false" customWidth="true" hidden="false" outlineLevel="0" max="7" min="7" style="0" width="14.78"/>
    <col collapsed="false" customWidth="true" hidden="false" outlineLevel="0" max="8" min="8" style="0" width="29.66"/>
  </cols>
  <sheetData>
    <row r="1" customFormat="false" ht="18" hidden="false" customHeight="true" outlineLevel="0" collapsed="false">
      <c r="A1" s="1" t="s">
        <v>243</v>
      </c>
    </row>
    <row r="2" customFormat="false" ht="14.25" hidden="false" customHeight="false" outlineLevel="0" collapsed="false">
      <c r="A2" s="75" t="s">
        <v>244</v>
      </c>
    </row>
    <row r="4" customFormat="false" ht="14.25" hidden="false" customHeight="false" outlineLevel="0" collapsed="false">
      <c r="A4" s="88" t="s">
        <v>245</v>
      </c>
    </row>
    <row r="5" customFormat="false" ht="14.25" hidden="false" customHeight="false" outlineLevel="0" collapsed="false">
      <c r="A5" s="54" t="s">
        <v>246</v>
      </c>
    </row>
    <row r="6" customFormat="false" ht="14.25" hidden="false" customHeight="false" outlineLevel="0" collapsed="false">
      <c r="A6" s="87" t="s">
        <v>247</v>
      </c>
    </row>
    <row r="8" customFormat="false" ht="14.25" hidden="false" customHeight="false" outlineLevel="0" collapsed="false">
      <c r="A8" s="76" t="s">
        <v>68</v>
      </c>
      <c r="B8" s="80" t="s">
        <v>248</v>
      </c>
      <c r="C8" s="80" t="s">
        <v>249</v>
      </c>
      <c r="D8" s="80" t="s">
        <v>250</v>
      </c>
      <c r="E8" s="80" t="s">
        <v>251</v>
      </c>
      <c r="F8" s="80" t="s">
        <v>252</v>
      </c>
      <c r="G8" s="80" t="s">
        <v>253</v>
      </c>
      <c r="H8" s="80" t="s">
        <v>254</v>
      </c>
    </row>
    <row r="9" customFormat="false" ht="14.25" hidden="false" customHeight="false" outlineLevel="0" collapsed="false">
      <c r="A9" s="116" t="s">
        <v>255</v>
      </c>
      <c r="B9" s="117"/>
      <c r="C9" s="117"/>
      <c r="D9" s="117"/>
      <c r="E9" s="117"/>
      <c r="F9" s="117"/>
      <c r="G9" s="117"/>
      <c r="H9" s="117"/>
    </row>
    <row r="10" customFormat="false" ht="42.75" hidden="false" customHeight="true" outlineLevel="0" collapsed="false">
      <c r="A10" s="54" t="s">
        <v>256</v>
      </c>
      <c r="B10" s="118" t="s">
        <v>257</v>
      </c>
      <c r="C10" s="119" t="s">
        <v>258</v>
      </c>
      <c r="D10" s="119" t="s">
        <v>259</v>
      </c>
      <c r="E10" s="91" t="s">
        <v>260</v>
      </c>
      <c r="F10" s="119" t="s">
        <v>261</v>
      </c>
      <c r="G10" s="110" t="s">
        <v>262</v>
      </c>
      <c r="H10" s="119" t="s">
        <v>263</v>
      </c>
    </row>
    <row r="11" customFormat="false" ht="42.75" hidden="false" customHeight="true" outlineLevel="0" collapsed="false">
      <c r="A11" s="54" t="s">
        <v>264</v>
      </c>
      <c r="B11" s="118" t="s">
        <v>265</v>
      </c>
      <c r="C11" s="119" t="s">
        <v>266</v>
      </c>
      <c r="D11" s="119" t="s">
        <v>267</v>
      </c>
      <c r="E11" s="91" t="s">
        <v>262</v>
      </c>
      <c r="F11" s="119" t="s">
        <v>268</v>
      </c>
      <c r="G11" s="110" t="s">
        <v>262</v>
      </c>
      <c r="H11" s="119" t="s">
        <v>269</v>
      </c>
    </row>
    <row r="12" customFormat="false" ht="42.75" hidden="false" customHeight="true" outlineLevel="0" collapsed="false">
      <c r="A12" s="54" t="s">
        <v>270</v>
      </c>
      <c r="B12" s="118" t="s">
        <v>271</v>
      </c>
      <c r="C12" s="119" t="s">
        <v>272</v>
      </c>
      <c r="D12" s="119" t="s">
        <v>273</v>
      </c>
      <c r="E12" s="91" t="s">
        <v>274</v>
      </c>
      <c r="F12" s="119" t="s">
        <v>275</v>
      </c>
      <c r="G12" s="110" t="s">
        <v>262</v>
      </c>
      <c r="H12" s="119" t="s">
        <v>276</v>
      </c>
    </row>
    <row r="13" customFormat="false" ht="57" hidden="false" customHeight="true" outlineLevel="0" collapsed="false">
      <c r="A13" s="54" t="s">
        <v>277</v>
      </c>
      <c r="B13" s="118" t="s">
        <v>278</v>
      </c>
      <c r="C13" s="119" t="s">
        <v>279</v>
      </c>
      <c r="D13" s="119" t="s">
        <v>280</v>
      </c>
      <c r="E13" s="91" t="s">
        <v>281</v>
      </c>
      <c r="F13" s="119" t="s">
        <v>282</v>
      </c>
      <c r="G13" s="111" t="s">
        <v>283</v>
      </c>
      <c r="H13" s="119" t="s">
        <v>284</v>
      </c>
    </row>
    <row r="14" customFormat="false" ht="42.75" hidden="false" customHeight="true" outlineLevel="0" collapsed="false">
      <c r="A14" s="54" t="s">
        <v>285</v>
      </c>
      <c r="B14" s="118" t="s">
        <v>286</v>
      </c>
      <c r="C14" s="119" t="s">
        <v>287</v>
      </c>
      <c r="D14" s="119" t="s">
        <v>288</v>
      </c>
      <c r="E14" s="91" t="s">
        <v>262</v>
      </c>
      <c r="F14" s="119" t="s">
        <v>289</v>
      </c>
      <c r="G14" s="110" t="s">
        <v>262</v>
      </c>
      <c r="H14" s="119" t="s">
        <v>290</v>
      </c>
    </row>
    <row r="15" customFormat="false" ht="42.75" hidden="false" customHeight="true" outlineLevel="0" collapsed="false">
      <c r="A15" s="54" t="s">
        <v>291</v>
      </c>
      <c r="B15" s="118" t="s">
        <v>292</v>
      </c>
      <c r="C15" s="119" t="s">
        <v>293</v>
      </c>
      <c r="D15" s="119" t="s">
        <v>294</v>
      </c>
      <c r="E15" s="91" t="s">
        <v>260</v>
      </c>
      <c r="F15" s="119" t="s">
        <v>295</v>
      </c>
      <c r="G15" s="111" t="s">
        <v>296</v>
      </c>
      <c r="H15" s="119" t="s">
        <v>297</v>
      </c>
    </row>
    <row r="16" customFormat="false" ht="42.75" hidden="false" customHeight="true" outlineLevel="0" collapsed="false">
      <c r="A16" s="54" t="s">
        <v>298</v>
      </c>
      <c r="B16" s="118" t="s">
        <v>278</v>
      </c>
      <c r="C16" s="119" t="s">
        <v>299</v>
      </c>
      <c r="D16" s="119" t="s">
        <v>300</v>
      </c>
      <c r="E16" s="91" t="s">
        <v>301</v>
      </c>
      <c r="F16" s="119" t="s">
        <v>302</v>
      </c>
      <c r="G16" s="110" t="s">
        <v>262</v>
      </c>
      <c r="H16" s="119" t="s">
        <v>303</v>
      </c>
    </row>
    <row r="17" customFormat="false" ht="14.25" hidden="false" customHeight="false" outlineLevel="0" collapsed="false">
      <c r="C17" s="119"/>
      <c r="D17" s="119"/>
      <c r="F17" s="119"/>
      <c r="H17" s="119"/>
    </row>
    <row r="18" customFormat="false" ht="14.25" hidden="false" customHeight="false" outlineLevel="0" collapsed="false">
      <c r="A18" s="120" t="s">
        <v>304</v>
      </c>
      <c r="B18" s="121"/>
      <c r="C18" s="122"/>
      <c r="D18" s="122"/>
      <c r="E18" s="121"/>
      <c r="F18" s="122"/>
      <c r="G18" s="121"/>
      <c r="H18" s="122"/>
    </row>
    <row r="19" customFormat="false" ht="42.75" hidden="false" customHeight="true" outlineLevel="0" collapsed="false">
      <c r="A19" s="54" t="s">
        <v>75</v>
      </c>
      <c r="B19" s="118" t="s">
        <v>305</v>
      </c>
      <c r="C19" s="119" t="s">
        <v>306</v>
      </c>
      <c r="D19" s="119" t="s">
        <v>307</v>
      </c>
      <c r="E19" s="91" t="s">
        <v>308</v>
      </c>
      <c r="F19" s="119" t="s">
        <v>309</v>
      </c>
      <c r="G19" s="112" t="s">
        <v>274</v>
      </c>
      <c r="H19" s="119" t="s">
        <v>310</v>
      </c>
    </row>
    <row r="20" customFormat="false" ht="42.75" hidden="false" customHeight="true" outlineLevel="0" collapsed="false">
      <c r="A20" s="54" t="s">
        <v>311</v>
      </c>
      <c r="B20" s="118" t="s">
        <v>312</v>
      </c>
      <c r="C20" s="119" t="s">
        <v>313</v>
      </c>
      <c r="D20" s="119" t="s">
        <v>314</v>
      </c>
      <c r="E20" s="91" t="s">
        <v>274</v>
      </c>
      <c r="F20" s="119" t="s">
        <v>315</v>
      </c>
      <c r="G20" s="110" t="s">
        <v>262</v>
      </c>
      <c r="H20" s="119" t="s">
        <v>316</v>
      </c>
    </row>
    <row r="21" customFormat="false" ht="42.75" hidden="false" customHeight="true" outlineLevel="0" collapsed="false">
      <c r="A21" s="54" t="s">
        <v>317</v>
      </c>
      <c r="B21" s="118" t="s">
        <v>318</v>
      </c>
      <c r="C21" s="119" t="s">
        <v>319</v>
      </c>
      <c r="D21" s="119" t="s">
        <v>301</v>
      </c>
      <c r="E21" s="91" t="s">
        <v>301</v>
      </c>
      <c r="F21" s="119" t="s">
        <v>320</v>
      </c>
      <c r="G21" s="110" t="s">
        <v>262</v>
      </c>
      <c r="H21" s="119" t="s">
        <v>321</v>
      </c>
    </row>
    <row r="22" customFormat="false" ht="42.75" hidden="false" customHeight="true" outlineLevel="0" collapsed="false">
      <c r="A22" s="54" t="s">
        <v>74</v>
      </c>
      <c r="B22" s="118" t="s">
        <v>322</v>
      </c>
      <c r="C22" s="119" t="s">
        <v>323</v>
      </c>
      <c r="D22" s="119" t="s">
        <v>324</v>
      </c>
      <c r="E22" s="91" t="s">
        <v>325</v>
      </c>
      <c r="F22" s="119" t="s">
        <v>326</v>
      </c>
      <c r="G22" s="111" t="s">
        <v>283</v>
      </c>
      <c r="H22" s="119" t="s">
        <v>327</v>
      </c>
    </row>
    <row r="23" customFormat="false" ht="42.75" hidden="false" customHeight="true" outlineLevel="0" collapsed="false">
      <c r="A23" s="54" t="s">
        <v>328</v>
      </c>
      <c r="B23" s="118" t="s">
        <v>322</v>
      </c>
      <c r="C23" s="119" t="s">
        <v>329</v>
      </c>
      <c r="D23" s="119" t="s">
        <v>330</v>
      </c>
      <c r="E23" s="91" t="s">
        <v>281</v>
      </c>
      <c r="F23" s="119" t="s">
        <v>331</v>
      </c>
      <c r="G23" s="110" t="s">
        <v>262</v>
      </c>
      <c r="H23" s="119" t="s">
        <v>332</v>
      </c>
    </row>
    <row r="24" customFormat="false" ht="42.75" hidden="false" customHeight="true" outlineLevel="0" collapsed="false">
      <c r="A24" s="54" t="s">
        <v>333</v>
      </c>
      <c r="B24" s="118" t="s">
        <v>334</v>
      </c>
      <c r="C24" s="119" t="s">
        <v>335</v>
      </c>
      <c r="D24" s="119" t="s">
        <v>336</v>
      </c>
      <c r="E24" s="91" t="s">
        <v>337</v>
      </c>
      <c r="F24" s="119" t="s">
        <v>338</v>
      </c>
      <c r="G24" s="112" t="s">
        <v>339</v>
      </c>
      <c r="H24" s="119" t="s">
        <v>340</v>
      </c>
    </row>
    <row r="25" customFormat="false" ht="42.75" hidden="false" customHeight="true" outlineLevel="0" collapsed="false">
      <c r="A25" s="54" t="s">
        <v>341</v>
      </c>
      <c r="B25" s="118" t="s">
        <v>334</v>
      </c>
      <c r="C25" s="119" t="s">
        <v>342</v>
      </c>
      <c r="D25" s="119" t="s">
        <v>343</v>
      </c>
      <c r="E25" s="91" t="s">
        <v>262</v>
      </c>
      <c r="F25" s="119" t="s">
        <v>344</v>
      </c>
      <c r="G25" s="110" t="s">
        <v>262</v>
      </c>
      <c r="H25" s="119" t="s">
        <v>345</v>
      </c>
    </row>
    <row r="26" customFormat="false" ht="42.75" hidden="false" customHeight="true" outlineLevel="0" collapsed="false">
      <c r="A26" s="54" t="s">
        <v>346</v>
      </c>
      <c r="B26" s="118" t="s">
        <v>347</v>
      </c>
      <c r="C26" s="119" t="s">
        <v>348</v>
      </c>
      <c r="D26" s="119" t="s">
        <v>349</v>
      </c>
      <c r="E26" s="91" t="s">
        <v>301</v>
      </c>
      <c r="F26" s="119" t="s">
        <v>350</v>
      </c>
      <c r="G26" s="112" t="s">
        <v>274</v>
      </c>
      <c r="H26" s="119" t="s">
        <v>351</v>
      </c>
    </row>
    <row r="28" customFormat="false" ht="15" hidden="false" customHeight="true" outlineLevel="0" collapsed="false">
      <c r="A28" s="86" t="s">
        <v>106</v>
      </c>
    </row>
    <row r="30" customFormat="false" ht="14.25" hidden="false" customHeight="false" outlineLevel="0" collapsed="false">
      <c r="A30" s="89" t="s">
        <v>352</v>
      </c>
      <c r="C30" s="90" t="s">
        <v>353</v>
      </c>
      <c r="D30" s="89" t="s">
        <v>354</v>
      </c>
    </row>
    <row r="31" customFormat="false" ht="14.25" hidden="false" customHeight="false" outlineLevel="0" collapsed="false">
      <c r="A31" s="123" t="s">
        <v>355</v>
      </c>
      <c r="C31" s="45" t="n">
        <f aca="false">COUNTIF(G10:G26,"YES")</f>
        <v>9</v>
      </c>
      <c r="D31" s="118" t="s">
        <v>356</v>
      </c>
    </row>
    <row r="32" customFormat="false" ht="14.25" hidden="false" customHeight="false" outlineLevel="0" collapsed="false">
      <c r="A32" s="124" t="s">
        <v>357</v>
      </c>
      <c r="C32" s="45" t="n">
        <f aca="false">COUNTIF(G10:G26,"NO")+COUNTIF(G10:G26,"NO~*")</f>
        <v>3</v>
      </c>
      <c r="D32" s="118" t="s">
        <v>358</v>
      </c>
    </row>
    <row r="33" customFormat="false" ht="14.25" hidden="false" customHeight="false" outlineLevel="0" collapsed="false">
      <c r="A33" s="125" t="s">
        <v>359</v>
      </c>
      <c r="C33" s="45" t="n">
        <f aca="false">COUNTIF(G10:G26,"PARTIAL")+COUNTIF(G10:G26,"TRENDING")</f>
        <v>3</v>
      </c>
      <c r="D33" s="118" t="s">
        <v>360</v>
      </c>
    </row>
    <row r="35" customFormat="false" ht="15" hidden="false" customHeight="true" outlineLevel="0" collapsed="false">
      <c r="A35" s="86" t="s">
        <v>361</v>
      </c>
    </row>
    <row r="37" customFormat="false" ht="18" hidden="false" customHeight="true" outlineLevel="0" collapsed="false">
      <c r="A37" s="54" t="s">
        <v>362</v>
      </c>
      <c r="C37" s="126" t="n">
        <f aca="false">C31</f>
        <v>9</v>
      </c>
      <c r="D37" s="54" t="s">
        <v>363</v>
      </c>
    </row>
    <row r="38" customFormat="false" ht="18" hidden="false" customHeight="true" outlineLevel="0" collapsed="false">
      <c r="A38" s="54" t="s">
        <v>364</v>
      </c>
      <c r="C38" s="127" t="n">
        <f aca="false">C32+C33</f>
        <v>6</v>
      </c>
      <c r="D38" s="54" t="s">
        <v>363</v>
      </c>
    </row>
    <row r="39" customFormat="false" ht="18" hidden="false" customHeight="true" outlineLevel="0" collapsed="false">
      <c r="A39" s="54" t="s">
        <v>365</v>
      </c>
      <c r="C39" s="128" t="n">
        <f aca="false">COUNTIF(E10:E26,"N/A")+COUNTIF(E10:E26,"WRONG FRAME")</f>
        <v>4</v>
      </c>
      <c r="D39" s="54" t="s">
        <v>366</v>
      </c>
    </row>
    <row r="41" customFormat="false" ht="15" hidden="false" customHeight="true" outlineLevel="0" collapsed="false">
      <c r="A41" s="86" t="s">
        <v>367</v>
      </c>
    </row>
    <row r="43" customFormat="false" ht="14.25" hidden="false" customHeight="false" outlineLevel="0" collapsed="false">
      <c r="A43" s="54" t="s">
        <v>368</v>
      </c>
    </row>
    <row r="44" customFormat="false" ht="14.25" hidden="false" customHeight="false" outlineLevel="0" collapsed="false">
      <c r="A44" s="115" t="s">
        <v>369</v>
      </c>
    </row>
    <row r="46" customFormat="false" ht="14.25" hidden="false" customHeight="false" outlineLevel="0" collapsed="false">
      <c r="A46" s="54" t="s">
        <v>370</v>
      </c>
    </row>
    <row r="47" customFormat="false" ht="14.25" hidden="false" customHeight="false" outlineLevel="0" collapsed="false">
      <c r="A47" s="0" t="s">
        <v>371</v>
      </c>
    </row>
    <row r="48" customFormat="false" ht="14.25" hidden="false" customHeight="false" outlineLevel="0" collapsed="false">
      <c r="A48" s="0" t="s">
        <v>372</v>
      </c>
    </row>
    <row r="49" customFormat="false" ht="14.25" hidden="false" customHeight="false" outlineLevel="0" collapsed="false">
      <c r="A49" s="0" t="s">
        <v>373</v>
      </c>
    </row>
    <row r="51" customFormat="false" ht="14.25" hidden="false" customHeight="false" outlineLevel="0" collapsed="false">
      <c r="A51" s="123" t="s">
        <v>374</v>
      </c>
    </row>
    <row r="52" customFormat="false" ht="14.25" hidden="false" customHeight="false" outlineLevel="0" collapsed="false">
      <c r="A52" s="129" t="s">
        <v>375</v>
      </c>
    </row>
    <row r="53" customFormat="false" ht="14.25" hidden="false" customHeight="false" outlineLevel="0" collapsed="false">
      <c r="A53" s="130" t="s">
        <v>376</v>
      </c>
    </row>
    <row r="55" customFormat="false" ht="18" hidden="false" customHeight="true" outlineLevel="0" collapsed="false">
      <c r="A55" s="1" t="s">
        <v>377</v>
      </c>
    </row>
    <row r="56" customFormat="false" ht="14.25" hidden="false" customHeight="false" outlineLevel="0" collapsed="false">
      <c r="A56" s="75" t="s">
        <v>378</v>
      </c>
    </row>
    <row r="58" customFormat="false" ht="15" hidden="false" customHeight="true" outlineLevel="0" collapsed="false">
      <c r="A58" s="86" t="s">
        <v>379</v>
      </c>
    </row>
    <row r="59" customFormat="false" ht="21" hidden="false" customHeight="true" outlineLevel="0" collapsed="false">
      <c r="A59" s="131" t="s">
        <v>380</v>
      </c>
    </row>
    <row r="61" customFormat="false" ht="14.25" hidden="false" customHeight="false" outlineLevel="0" collapsed="false">
      <c r="A61" s="76" t="s">
        <v>381</v>
      </c>
      <c r="C61" s="80" t="s">
        <v>382</v>
      </c>
      <c r="D61" s="76" t="s">
        <v>383</v>
      </c>
    </row>
    <row r="62" customFormat="false" ht="57" hidden="false" customHeight="true" outlineLevel="0" collapsed="false">
      <c r="A62" s="0" t="s">
        <v>384</v>
      </c>
      <c r="C62" s="132" t="s">
        <v>385</v>
      </c>
      <c r="D62" s="119" t="s">
        <v>386</v>
      </c>
    </row>
    <row r="63" customFormat="false" ht="57" hidden="false" customHeight="true" outlineLevel="0" collapsed="false">
      <c r="A63" s="0" t="s">
        <v>387</v>
      </c>
      <c r="C63" s="132" t="s">
        <v>388</v>
      </c>
      <c r="D63" s="119" t="s">
        <v>389</v>
      </c>
    </row>
    <row r="64" customFormat="false" ht="57" hidden="false" customHeight="true" outlineLevel="0" collapsed="false">
      <c r="A64" s="0" t="s">
        <v>390</v>
      </c>
      <c r="C64" s="132" t="s">
        <v>391</v>
      </c>
      <c r="D64" s="119" t="s">
        <v>392</v>
      </c>
    </row>
    <row r="65" customFormat="false" ht="42.75" hidden="false" customHeight="true" outlineLevel="0" collapsed="false">
      <c r="A65" s="0" t="s">
        <v>393</v>
      </c>
      <c r="C65" s="132" t="s">
        <v>394</v>
      </c>
      <c r="D65" s="119" t="s">
        <v>395</v>
      </c>
    </row>
    <row r="67" customFormat="false" ht="15" hidden="false" customHeight="true" outlineLevel="0" collapsed="false">
      <c r="A67" s="86" t="s">
        <v>396</v>
      </c>
    </row>
    <row r="69" customFormat="false" ht="14.25" hidden="false" customHeight="false" outlineLevel="0" collapsed="false">
      <c r="A69" s="76" t="s">
        <v>397</v>
      </c>
      <c r="C69" s="80" t="s">
        <v>398</v>
      </c>
      <c r="E69" s="80" t="s">
        <v>399</v>
      </c>
      <c r="G69" s="80" t="s">
        <v>400</v>
      </c>
    </row>
    <row r="70" customFormat="false" ht="14.25" hidden="false" customHeight="false" outlineLevel="0" collapsed="false">
      <c r="A70" s="0" t="s">
        <v>401</v>
      </c>
      <c r="C70" s="91" t="s">
        <v>402</v>
      </c>
      <c r="E70" s="110" t="s">
        <v>27</v>
      </c>
      <c r="G70" s="91" t="s">
        <v>403</v>
      </c>
    </row>
    <row r="71" customFormat="false" ht="14.25" hidden="false" customHeight="false" outlineLevel="0" collapsed="false">
      <c r="A71" s="0" t="s">
        <v>404</v>
      </c>
      <c r="C71" s="91" t="s">
        <v>405</v>
      </c>
      <c r="E71" s="133" t="s">
        <v>406</v>
      </c>
      <c r="G71" s="91" t="s">
        <v>407</v>
      </c>
    </row>
    <row r="72" customFormat="false" ht="14.25" hidden="false" customHeight="false" outlineLevel="0" collapsed="false">
      <c r="A72" s="0" t="s">
        <v>408</v>
      </c>
      <c r="C72" s="91" t="s">
        <v>409</v>
      </c>
      <c r="E72" s="133" t="s">
        <v>410</v>
      </c>
      <c r="G72" s="91" t="s">
        <v>411</v>
      </c>
    </row>
    <row r="73" customFormat="false" ht="14.25" hidden="false" customHeight="false" outlineLevel="0" collapsed="false">
      <c r="A73" s="0" t="s">
        <v>412</v>
      </c>
      <c r="C73" s="91" t="s">
        <v>413</v>
      </c>
      <c r="E73" s="112" t="s">
        <v>414</v>
      </c>
      <c r="G73" s="91" t="s">
        <v>415</v>
      </c>
    </row>
    <row r="74" customFormat="false" ht="14.25" hidden="false" customHeight="false" outlineLevel="0" collapsed="false">
      <c r="A74" s="0" t="s">
        <v>416</v>
      </c>
      <c r="C74" s="91" t="s">
        <v>417</v>
      </c>
      <c r="E74" s="134" t="s">
        <v>418</v>
      </c>
      <c r="G74" s="91" t="s">
        <v>419</v>
      </c>
    </row>
    <row r="76" customFormat="false" ht="15" hidden="false" customHeight="true" outlineLevel="0" collapsed="false">
      <c r="A76" s="86" t="s">
        <v>420</v>
      </c>
    </row>
    <row r="78" customFormat="false" ht="14.25" hidden="false" customHeight="false" outlineLevel="0" collapsed="false">
      <c r="A78" s="54" t="s">
        <v>421</v>
      </c>
    </row>
    <row r="79" customFormat="false" ht="14.25" hidden="false" customHeight="false" outlineLevel="0" collapsed="false">
      <c r="A79" s="54" t="s">
        <v>422</v>
      </c>
    </row>
    <row r="80" customFormat="false" ht="14.25" hidden="false" customHeight="false" outlineLevel="0" collapsed="false">
      <c r="A80" s="130" t="s">
        <v>423</v>
      </c>
    </row>
    <row r="82" customFormat="false" ht="14.25" hidden="false" customHeight="false" outlineLevel="0" collapsed="false">
      <c r="A82" s="88" t="s">
        <v>424</v>
      </c>
    </row>
    <row r="83" customFormat="false" ht="14.25" hidden="false" customHeight="false" outlineLevel="0" collapsed="false">
      <c r="A83" s="0" t="s">
        <v>425</v>
      </c>
    </row>
    <row r="84" customFormat="false" ht="14.25" hidden="false" customHeight="false" outlineLevel="0" collapsed="false">
      <c r="A84" s="0" t="s">
        <v>426</v>
      </c>
    </row>
    <row r="85" customFormat="false" ht="14.25" hidden="false" customHeight="false" outlineLevel="0" collapsed="false">
      <c r="A85" s="87" t="s">
        <v>427</v>
      </c>
    </row>
    <row r="87" customFormat="false" ht="15" hidden="false" customHeight="true" outlineLevel="0" collapsed="false">
      <c r="A87" s="86" t="s">
        <v>428</v>
      </c>
    </row>
    <row r="88" customFormat="false" ht="14.25" hidden="false" customHeight="false" outlineLevel="0" collapsed="false">
      <c r="A88" s="75" t="s">
        <v>429</v>
      </c>
    </row>
    <row r="90" customFormat="false" ht="14.25" hidden="false" customHeight="false" outlineLevel="0" collapsed="false">
      <c r="A90" s="76" t="s">
        <v>430</v>
      </c>
      <c r="C90" s="76" t="s">
        <v>431</v>
      </c>
      <c r="F90" s="80" t="s">
        <v>432</v>
      </c>
    </row>
    <row r="91" customFormat="false" ht="28.5" hidden="false" customHeight="true" outlineLevel="0" collapsed="false">
      <c r="A91" s="0" t="s">
        <v>433</v>
      </c>
      <c r="C91" s="119" t="s">
        <v>434</v>
      </c>
      <c r="F91" s="91" t="s">
        <v>435</v>
      </c>
    </row>
    <row r="92" customFormat="false" ht="14.25" hidden="false" customHeight="false" outlineLevel="0" collapsed="false">
      <c r="A92" s="0" t="s">
        <v>436</v>
      </c>
      <c r="C92" s="119" t="s">
        <v>437</v>
      </c>
      <c r="F92" s="91" t="s">
        <v>438</v>
      </c>
    </row>
    <row r="93" customFormat="false" ht="28.5" hidden="false" customHeight="true" outlineLevel="0" collapsed="false">
      <c r="A93" s="0" t="s">
        <v>439</v>
      </c>
      <c r="C93" s="119" t="s">
        <v>440</v>
      </c>
      <c r="F93" s="91" t="s">
        <v>441</v>
      </c>
    </row>
    <row r="94" customFormat="false" ht="28.5" hidden="false" customHeight="true" outlineLevel="0" collapsed="false">
      <c r="A94" s="0" t="s">
        <v>442</v>
      </c>
      <c r="C94" s="119" t="s">
        <v>443</v>
      </c>
      <c r="F94" s="112" t="s">
        <v>444</v>
      </c>
    </row>
    <row r="95" customFormat="false" ht="28.5" hidden="false" customHeight="true" outlineLevel="0" collapsed="false">
      <c r="A95" s="0" t="s">
        <v>445</v>
      </c>
      <c r="C95" s="119" t="s">
        <v>446</v>
      </c>
      <c r="F95" s="110" t="s">
        <v>447</v>
      </c>
    </row>
    <row r="97" customFormat="false" ht="14.25" hidden="false" customHeight="false" outlineLevel="0" collapsed="false">
      <c r="A97" s="54" t="s">
        <v>448</v>
      </c>
    </row>
    <row r="98" customFormat="false" ht="14.25" hidden="false" customHeight="false" outlineLevel="0" collapsed="false">
      <c r="A98" s="0" t="s">
        <v>449</v>
      </c>
    </row>
    <row r="99" customFormat="false" ht="14.25" hidden="false" customHeight="false" outlineLevel="0" collapsed="false">
      <c r="A99" s="0" t="s">
        <v>450</v>
      </c>
    </row>
    <row r="100" customFormat="false" ht="14.25" hidden="false" customHeight="false" outlineLevel="0" collapsed="false">
      <c r="A100" s="135" t="s">
        <v>451</v>
      </c>
    </row>
    <row r="102" customFormat="false" ht="14.25" hidden="false" customHeight="false" outlineLevel="0" collapsed="false">
      <c r="A102" s="54" t="s">
        <v>452</v>
      </c>
    </row>
    <row r="103" customFormat="false" ht="14.25" hidden="false" customHeight="false" outlineLevel="0" collapsed="false">
      <c r="A103" s="0" t="s">
        <v>453</v>
      </c>
    </row>
    <row r="105" customFormat="false" ht="15" hidden="false" customHeight="true" outlineLevel="0" collapsed="false">
      <c r="A105" s="86" t="s">
        <v>454</v>
      </c>
    </row>
    <row r="107" customFormat="false" ht="14.25" hidden="false" customHeight="false" outlineLevel="0" collapsed="false">
      <c r="A107" s="136" t="s">
        <v>455</v>
      </c>
    </row>
    <row r="108" customFormat="false" ht="14.25" hidden="false" customHeight="false" outlineLevel="0" collapsed="false">
      <c r="A108" s="136" t="s">
        <v>456</v>
      </c>
    </row>
    <row r="109" customFormat="false" ht="14.25" hidden="false" customHeight="false" outlineLevel="0" collapsed="false">
      <c r="A109" s="136" t="s">
        <v>457</v>
      </c>
    </row>
    <row r="110" customFormat="false" ht="14.25" hidden="false" customHeight="false" outlineLevel="0" collapsed="false">
      <c r="A110" s="137" t="s">
        <v>458</v>
      </c>
    </row>
    <row r="112" customFormat="false" ht="14.25" hidden="false" customHeight="false" outlineLevel="0" collapsed="false">
      <c r="A112" s="138" t="s">
        <v>459</v>
      </c>
    </row>
  </sheetData>
  <conditionalFormatting sqref="G10:G26">
    <cfRule type="containsText" priority="2" operator="containsText" aboveAverage="0" equalAverage="0" bottom="0" percent="0" rank="0" text="YES" dxfId="4">
      <formula>NOT(ISERROR(SEARCH("YES",G10)))</formula>
    </cfRule>
    <cfRule type="containsText" priority="3" operator="containsText" aboveAverage="0" equalAverage="0" bottom="0" percent="0" rank="0" text="NO" dxfId="5">
      <formula>NOT(ISERROR(SEARCH("NO",G10)))</formula>
    </cfRule>
    <cfRule type="containsText" priority="4" operator="containsText" aboveAverage="0" equalAverage="0" bottom="0" percent="0" rank="0" text="PARTIAL" dxfId="7">
      <formula>NOT(ISERROR(SEARCH("PARTIAL",G10)))</formula>
    </cfRule>
    <cfRule type="containsText" priority="5" operator="containsText" aboveAverage="0" equalAverage="0" bottom="0" percent="0" rank="0" text="TRENDING" dxfId="7">
      <formula>NOT(ISERROR(SEARCH("TRENDING",G10)))</formula>
    </cfRule>
  </conditionalFormatting>
  <conditionalFormatting sqref="E10:E26">
    <cfRule type="containsText" priority="6" operator="containsText" aboveAverage="0" equalAverage="0" bottom="0" percent="0" rank="0" text="YES" dxfId="8">
      <formula>NOT(ISERROR(SEARCH("YES",E10)))</formula>
    </cfRule>
    <cfRule type="containsText" priority="7" operator="containsText" aboveAverage="0" equalAverage="0" bottom="0" percent="0" rank="0" text="NO" dxfId="9">
      <formula>NOT(ISERROR(SEARCH("NO",E10)))</formula>
    </cfRule>
    <cfRule type="containsText" priority="8" operator="containsText" aboveAverage="0" equalAverage="0" bottom="0" percent="0" rank="0" text="MISAPPLIED" dxfId="9">
      <formula>NOT(ISERROR(SEARCH("MISAPPLIED",E10)))</formula>
    </cfRule>
    <cfRule type="containsText" priority="9" operator="containsText" aboveAverage="0" equalAverage="0" bottom="0" percent="0" rank="0" text="INVERTED" dxfId="9">
      <formula>NOT(ISERROR(SEARCH("INVERTED",E10)))</formula>
    </cfRule>
    <cfRule type="containsText" priority="10" operator="containsText" aboveAverage="0" equalAverage="0" bottom="0" percent="0" rank="0" text="WRONG FRAME" dxfId="10">
      <formula>NOT(ISERROR(SEARCH("WRONG FRAME",E10)))</formula>
    </cfRule>
    <cfRule type="containsText" priority="11" operator="containsText" aboveAverage="0" equalAverage="0" bottom="0" percent="0" rank="0" text="UNRESOLVABLE" dxfId="11">
      <formula>NOT(ISERROR(SEARCH("UNRESOLVABLE",E10)))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3.33"/>
    <col collapsed="false" customWidth="true" hidden="false" outlineLevel="0" max="2" min="2" style="0" width="22.22"/>
    <col collapsed="false" customWidth="true" hidden="false" outlineLevel="0" max="4" min="3" style="0" width="37"/>
  </cols>
  <sheetData>
    <row r="1" customFormat="false" ht="18" hidden="false" customHeight="true" outlineLevel="0" collapsed="false">
      <c r="A1" s="1" t="s">
        <v>460</v>
      </c>
    </row>
    <row r="2" customFormat="false" ht="14.25" hidden="false" customHeight="false" outlineLevel="0" collapsed="false">
      <c r="A2" s="75" t="s">
        <v>461</v>
      </c>
    </row>
    <row r="4" customFormat="false" ht="15" hidden="false" customHeight="true" outlineLevel="0" collapsed="false">
      <c r="A4" s="86" t="s">
        <v>462</v>
      </c>
    </row>
    <row r="5" customFormat="false" ht="18" hidden="false" customHeight="true" outlineLevel="0" collapsed="false">
      <c r="A5" s="139" t="s">
        <v>463</v>
      </c>
    </row>
    <row r="7" customFormat="false" ht="14.25" hidden="false" customHeight="false" outlineLevel="0" collapsed="false">
      <c r="A7" s="54" t="s">
        <v>464</v>
      </c>
    </row>
    <row r="8" customFormat="false" ht="14.25" hidden="false" customHeight="false" outlineLevel="0" collapsed="false">
      <c r="A8" s="0" t="s">
        <v>465</v>
      </c>
    </row>
    <row r="9" customFormat="false" ht="14.25" hidden="false" customHeight="false" outlineLevel="0" collapsed="false">
      <c r="A9" s="0" t="s">
        <v>466</v>
      </c>
    </row>
    <row r="10" customFormat="false" ht="14.25" hidden="false" customHeight="false" outlineLevel="0" collapsed="false">
      <c r="A10" s="54" t="s">
        <v>467</v>
      </c>
    </row>
    <row r="12" customFormat="false" ht="14.25" hidden="false" customHeight="false" outlineLevel="0" collapsed="false">
      <c r="A12" s="76" t="s">
        <v>381</v>
      </c>
      <c r="B12" s="80" t="s">
        <v>382</v>
      </c>
      <c r="C12" s="76" t="s">
        <v>383</v>
      </c>
    </row>
    <row r="13" customFormat="false" ht="14.25" hidden="false" customHeight="false" outlineLevel="0" collapsed="false">
      <c r="A13" s="0" t="s">
        <v>468</v>
      </c>
      <c r="B13" s="140" t="s">
        <v>469</v>
      </c>
      <c r="C13" s="119" t="s">
        <v>470</v>
      </c>
    </row>
    <row r="14" customFormat="false" ht="14.25" hidden="false" customHeight="false" outlineLevel="0" collapsed="false">
      <c r="A14" s="0" t="s">
        <v>471</v>
      </c>
      <c r="B14" s="140" t="s">
        <v>472</v>
      </c>
      <c r="C14" s="119" t="s">
        <v>473</v>
      </c>
    </row>
    <row r="15" customFormat="false" ht="28.5" hidden="false" customHeight="true" outlineLevel="0" collapsed="false">
      <c r="A15" s="0" t="s">
        <v>474</v>
      </c>
      <c r="B15" s="140" t="s">
        <v>475</v>
      </c>
      <c r="C15" s="119" t="s">
        <v>476</v>
      </c>
    </row>
    <row r="16" customFormat="false" ht="28.5" hidden="false" customHeight="true" outlineLevel="0" collapsed="false">
      <c r="A16" s="0" t="s">
        <v>477</v>
      </c>
      <c r="B16" s="140" t="s">
        <v>478</v>
      </c>
      <c r="C16" s="119" t="s">
        <v>479</v>
      </c>
    </row>
    <row r="18" customFormat="false" ht="15" hidden="false" customHeight="true" outlineLevel="0" collapsed="false">
      <c r="A18" s="86" t="s">
        <v>480</v>
      </c>
    </row>
    <row r="19" customFormat="false" ht="18" hidden="false" customHeight="true" outlineLevel="0" collapsed="false">
      <c r="A19" s="139" t="s">
        <v>481</v>
      </c>
    </row>
    <row r="21" customFormat="false" ht="14.25" hidden="false" customHeight="false" outlineLevel="0" collapsed="false">
      <c r="A21" s="54" t="s">
        <v>464</v>
      </c>
    </row>
    <row r="22" customFormat="false" ht="14.25" hidden="false" customHeight="false" outlineLevel="0" collapsed="false">
      <c r="A22" s="0" t="s">
        <v>482</v>
      </c>
    </row>
    <row r="23" customFormat="false" ht="14.25" hidden="false" customHeight="false" outlineLevel="0" collapsed="false">
      <c r="A23" s="0" t="s">
        <v>483</v>
      </c>
    </row>
    <row r="24" customFormat="false" ht="14.25" hidden="false" customHeight="false" outlineLevel="0" collapsed="false">
      <c r="A24" s="54" t="s">
        <v>484</v>
      </c>
    </row>
    <row r="26" customFormat="false" ht="14.25" hidden="false" customHeight="false" outlineLevel="0" collapsed="false">
      <c r="A26" s="76" t="s">
        <v>381</v>
      </c>
      <c r="B26" s="80" t="s">
        <v>382</v>
      </c>
      <c r="C26" s="76" t="s">
        <v>383</v>
      </c>
      <c r="D26" s="76" t="s">
        <v>485</v>
      </c>
    </row>
    <row r="27" customFormat="false" ht="14.25" hidden="false" customHeight="false" outlineLevel="0" collapsed="false">
      <c r="A27" s="0" t="s">
        <v>486</v>
      </c>
      <c r="B27" s="140" t="s">
        <v>487</v>
      </c>
      <c r="C27" s="119" t="s">
        <v>488</v>
      </c>
      <c r="D27" s="119" t="s">
        <v>489</v>
      </c>
    </row>
    <row r="28" customFormat="false" ht="14.25" hidden="false" customHeight="false" outlineLevel="0" collapsed="false">
      <c r="A28" s="0" t="s">
        <v>490</v>
      </c>
      <c r="B28" s="140" t="s">
        <v>491</v>
      </c>
      <c r="C28" s="119" t="s">
        <v>492</v>
      </c>
      <c r="D28" s="119" t="s">
        <v>489</v>
      </c>
    </row>
    <row r="29" customFormat="false" ht="28.5" hidden="false" customHeight="true" outlineLevel="0" collapsed="false">
      <c r="A29" s="0" t="s">
        <v>493</v>
      </c>
      <c r="B29" s="140" t="s">
        <v>494</v>
      </c>
      <c r="C29" s="119" t="s">
        <v>495</v>
      </c>
      <c r="D29" s="119" t="s">
        <v>496</v>
      </c>
    </row>
    <row r="30" customFormat="false" ht="28.5" hidden="false" customHeight="true" outlineLevel="0" collapsed="false">
      <c r="A30" s="0" t="s">
        <v>497</v>
      </c>
      <c r="B30" s="140" t="s">
        <v>498</v>
      </c>
      <c r="C30" s="119" t="s">
        <v>499</v>
      </c>
      <c r="D30" s="119" t="s">
        <v>500</v>
      </c>
    </row>
    <row r="31" customFormat="false" ht="28.5" hidden="false" customHeight="true" outlineLevel="0" collapsed="false">
      <c r="A31" s="0" t="s">
        <v>501</v>
      </c>
      <c r="B31" s="140" t="s">
        <v>502</v>
      </c>
      <c r="C31" s="119" t="s">
        <v>503</v>
      </c>
      <c r="D31" s="119" t="s">
        <v>504</v>
      </c>
    </row>
    <row r="32" customFormat="false" ht="28.5" hidden="false" customHeight="true" outlineLevel="0" collapsed="false">
      <c r="A32" s="0" t="s">
        <v>505</v>
      </c>
      <c r="B32" s="140" t="s">
        <v>506</v>
      </c>
      <c r="C32" s="119" t="s">
        <v>507</v>
      </c>
      <c r="D32" s="119" t="s">
        <v>508</v>
      </c>
    </row>
    <row r="33" customFormat="false" ht="14.25" hidden="false" customHeight="false" outlineLevel="0" collapsed="false">
      <c r="A33" s="0" t="s">
        <v>509</v>
      </c>
      <c r="B33" s="140" t="s">
        <v>510</v>
      </c>
      <c r="C33" s="119" t="s">
        <v>511</v>
      </c>
      <c r="D33" s="119" t="s">
        <v>512</v>
      </c>
    </row>
    <row r="34" customFormat="false" ht="28.5" hidden="false" customHeight="true" outlineLevel="0" collapsed="false">
      <c r="A34" s="0" t="s">
        <v>513</v>
      </c>
      <c r="B34" s="140" t="s">
        <v>514</v>
      </c>
      <c r="C34" s="119" t="s">
        <v>515</v>
      </c>
      <c r="D34" s="119" t="s">
        <v>516</v>
      </c>
    </row>
    <row r="36" customFormat="false" ht="15" hidden="false" customHeight="true" outlineLevel="0" collapsed="false">
      <c r="A36" s="86" t="s">
        <v>517</v>
      </c>
    </row>
    <row r="37" customFormat="false" ht="18" hidden="false" customHeight="true" outlineLevel="0" collapsed="false">
      <c r="A37" s="139" t="s">
        <v>518</v>
      </c>
    </row>
    <row r="39" customFormat="false" ht="14.25" hidden="false" customHeight="false" outlineLevel="0" collapsed="false">
      <c r="A39" s="54" t="s">
        <v>464</v>
      </c>
    </row>
    <row r="40" customFormat="false" ht="14.25" hidden="false" customHeight="false" outlineLevel="0" collapsed="false">
      <c r="A40" s="0" t="s">
        <v>519</v>
      </c>
    </row>
    <row r="41" customFormat="false" ht="14.25" hidden="false" customHeight="false" outlineLevel="0" collapsed="false">
      <c r="A41" s="87" t="s">
        <v>520</v>
      </c>
    </row>
    <row r="43" customFormat="false" ht="14.25" hidden="false" customHeight="false" outlineLevel="0" collapsed="false">
      <c r="A43" s="54" t="s">
        <v>521</v>
      </c>
    </row>
    <row r="44" customFormat="false" ht="15" hidden="false" customHeight="true" outlineLevel="0" collapsed="false">
      <c r="A44" s="141" t="s">
        <v>522</v>
      </c>
    </row>
    <row r="45" customFormat="false" ht="14.25" hidden="false" customHeight="false" outlineLevel="0" collapsed="false">
      <c r="A45" s="0" t="s">
        <v>523</v>
      </c>
    </row>
    <row r="46" customFormat="false" ht="14.25" hidden="false" customHeight="false" outlineLevel="0" collapsed="false">
      <c r="A46" s="54" t="s">
        <v>524</v>
      </c>
    </row>
    <row r="48" customFormat="false" ht="15" hidden="false" customHeight="true" outlineLevel="0" collapsed="false">
      <c r="A48" s="86" t="s">
        <v>525</v>
      </c>
    </row>
    <row r="49" customFormat="false" ht="18" hidden="false" customHeight="true" outlineLevel="0" collapsed="false">
      <c r="A49" s="139" t="s">
        <v>380</v>
      </c>
    </row>
    <row r="51" customFormat="false" ht="14.25" hidden="false" customHeight="false" outlineLevel="0" collapsed="false">
      <c r="A51" s="0" t="s">
        <v>526</v>
      </c>
    </row>
    <row r="52" customFormat="false" ht="14.25" hidden="false" customHeight="false" outlineLevel="0" collapsed="false">
      <c r="A52" s="0" t="s">
        <v>527</v>
      </c>
    </row>
    <row r="53" customFormat="false" ht="14.25" hidden="false" customHeight="false" outlineLevel="0" collapsed="false">
      <c r="A53" s="0" t="s">
        <v>528</v>
      </c>
    </row>
    <row r="54" customFormat="false" ht="14.25" hidden="false" customHeight="false" outlineLevel="0" collapsed="false">
      <c r="A54" s="0" t="s">
        <v>529</v>
      </c>
    </row>
    <row r="56" customFormat="false" ht="14.25" hidden="false" customHeight="false" outlineLevel="0" collapsed="false">
      <c r="A56" s="54" t="s">
        <v>530</v>
      </c>
    </row>
    <row r="57" customFormat="false" ht="14.25" hidden="false" customHeight="false" outlineLevel="0" collapsed="false">
      <c r="A57" s="0" t="s">
        <v>531</v>
      </c>
    </row>
    <row r="58" customFormat="false" ht="14.25" hidden="false" customHeight="false" outlineLevel="0" collapsed="false">
      <c r="A58" s="0" t="s">
        <v>532</v>
      </c>
    </row>
    <row r="59" customFormat="false" ht="14.25" hidden="false" customHeight="false" outlineLevel="0" collapsed="false">
      <c r="A59" s="0" t="s">
        <v>533</v>
      </c>
    </row>
    <row r="60" customFormat="false" ht="14.25" hidden="false" customHeight="false" outlineLevel="0" collapsed="false">
      <c r="A60" s="130" t="s">
        <v>534</v>
      </c>
    </row>
    <row r="62" customFormat="false" ht="15" hidden="false" customHeight="true" outlineLevel="0" collapsed="false">
      <c r="A62" s="86" t="s">
        <v>535</v>
      </c>
    </row>
    <row r="63" customFormat="false" ht="14.25" hidden="false" customHeight="false" outlineLevel="0" collapsed="false">
      <c r="A63" s="87" t="s">
        <v>536</v>
      </c>
    </row>
    <row r="65" customFormat="false" ht="14.25" hidden="false" customHeight="false" outlineLevel="0" collapsed="false">
      <c r="A65" s="76" t="s">
        <v>537</v>
      </c>
      <c r="B65" s="80" t="s">
        <v>382</v>
      </c>
      <c r="C65" s="76" t="s">
        <v>538</v>
      </c>
      <c r="D65" s="76" t="s">
        <v>539</v>
      </c>
    </row>
    <row r="66" customFormat="false" ht="29.25" hidden="false" customHeight="true" outlineLevel="0" collapsed="false">
      <c r="A66" s="0" t="s">
        <v>540</v>
      </c>
      <c r="B66" s="139" t="s">
        <v>541</v>
      </c>
      <c r="C66" s="119" t="s">
        <v>542</v>
      </c>
      <c r="D66" s="119" t="s">
        <v>543</v>
      </c>
    </row>
    <row r="67" customFormat="false" ht="29.25" hidden="false" customHeight="true" outlineLevel="0" collapsed="false">
      <c r="A67" s="0" t="s">
        <v>544</v>
      </c>
      <c r="B67" s="139" t="s">
        <v>545</v>
      </c>
      <c r="C67" s="119" t="s">
        <v>546</v>
      </c>
      <c r="D67" s="119" t="s">
        <v>547</v>
      </c>
    </row>
    <row r="68" customFormat="false" ht="28.5" hidden="false" customHeight="true" outlineLevel="0" collapsed="false">
      <c r="A68" s="0" t="s">
        <v>548</v>
      </c>
      <c r="B68" s="140" t="s">
        <v>549</v>
      </c>
      <c r="C68" s="119" t="s">
        <v>550</v>
      </c>
      <c r="D68" s="119" t="s">
        <v>551</v>
      </c>
    </row>
    <row r="69" customFormat="false" ht="29.25" hidden="false" customHeight="true" outlineLevel="0" collapsed="false">
      <c r="A69" s="0" t="s">
        <v>552</v>
      </c>
      <c r="B69" s="139" t="s">
        <v>71</v>
      </c>
      <c r="C69" s="119" t="s">
        <v>553</v>
      </c>
      <c r="D69" s="119" t="s">
        <v>554</v>
      </c>
    </row>
    <row r="70" customFormat="false" ht="29.25" hidden="false" customHeight="true" outlineLevel="0" collapsed="false">
      <c r="A70" s="0" t="s">
        <v>37</v>
      </c>
      <c r="B70" s="139" t="s">
        <v>555</v>
      </c>
      <c r="C70" s="119" t="s">
        <v>556</v>
      </c>
      <c r="D70" s="119" t="s">
        <v>557</v>
      </c>
    </row>
    <row r="71" customFormat="false" ht="29.25" hidden="false" customHeight="true" outlineLevel="0" collapsed="false">
      <c r="A71" s="0" t="s">
        <v>558</v>
      </c>
      <c r="B71" s="139" t="s">
        <v>559</v>
      </c>
      <c r="C71" s="119" t="s">
        <v>560</v>
      </c>
      <c r="D71" s="119" t="s">
        <v>561</v>
      </c>
    </row>
    <row r="73" customFormat="false" ht="14.25" hidden="false" customHeight="false" outlineLevel="0" collapsed="false">
      <c r="A73" s="88" t="s">
        <v>562</v>
      </c>
    </row>
    <row r="74" customFormat="false" ht="14.25" hidden="false" customHeight="false" outlineLevel="0" collapsed="false">
      <c r="A74" s="87" t="s">
        <v>563</v>
      </c>
    </row>
    <row r="76" customFormat="false" ht="15" hidden="false" customHeight="true" outlineLevel="0" collapsed="false">
      <c r="A76" s="86" t="s">
        <v>564</v>
      </c>
    </row>
    <row r="77" customFormat="false" ht="14.25" hidden="false" customHeight="false" outlineLevel="0" collapsed="false">
      <c r="A77" s="0" t="s">
        <v>565</v>
      </c>
    </row>
    <row r="78" customFormat="false" ht="14.25" hidden="false" customHeight="false" outlineLevel="0" collapsed="false">
      <c r="A78" s="0" t="s">
        <v>566</v>
      </c>
    </row>
    <row r="79" customFormat="false" ht="14.25" hidden="false" customHeight="false" outlineLevel="0" collapsed="false">
      <c r="A79" s="135" t="s">
        <v>567</v>
      </c>
    </row>
    <row r="81" customFormat="false" ht="14.25" hidden="false" customHeight="false" outlineLevel="0" collapsed="false">
      <c r="A81" s="75" t="s">
        <v>568</v>
      </c>
    </row>
    <row r="82" customFormat="false" ht="14.25" hidden="false" customHeight="false" outlineLevel="0" collapsed="false">
      <c r="A82" s="75" t="s">
        <v>569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0.78"/>
    <col collapsed="false" customWidth="true" hidden="false" outlineLevel="0" max="2" min="2" style="0" width="48.11"/>
    <col collapsed="false" customWidth="true" hidden="false" outlineLevel="0" max="4" min="3" style="0" width="33.33"/>
    <col collapsed="false" customWidth="true" hidden="false" outlineLevel="0" max="5" min="5" style="0" width="29.66"/>
  </cols>
  <sheetData>
    <row r="1" customFormat="false" ht="18" hidden="false" customHeight="true" outlineLevel="0" collapsed="false">
      <c r="A1" s="142" t="s">
        <v>570</v>
      </c>
    </row>
    <row r="2" customFormat="false" ht="14.25" hidden="false" customHeight="false" outlineLevel="0" collapsed="false">
      <c r="A2" s="143" t="s">
        <v>571</v>
      </c>
    </row>
    <row r="4" customFormat="false" ht="15" hidden="false" customHeight="true" outlineLevel="0" collapsed="false">
      <c r="A4" s="144" t="s">
        <v>572</v>
      </c>
    </row>
    <row r="6" customFormat="false" ht="14.25" hidden="false" customHeight="false" outlineLevel="0" collapsed="false">
      <c r="A6" s="54" t="s">
        <v>573</v>
      </c>
    </row>
    <row r="7" customFormat="false" ht="14.25" hidden="false" customHeight="false" outlineLevel="0" collapsed="false">
      <c r="A7" s="0" t="s">
        <v>574</v>
      </c>
    </row>
    <row r="8" customFormat="false" ht="14.25" hidden="false" customHeight="false" outlineLevel="0" collapsed="false">
      <c r="A8" s="0" t="s">
        <v>575</v>
      </c>
    </row>
    <row r="10" customFormat="false" ht="14.25" hidden="false" customHeight="false" outlineLevel="0" collapsed="false">
      <c r="A10" s="145" t="s">
        <v>576</v>
      </c>
      <c r="B10" s="146" t="s">
        <v>577</v>
      </c>
      <c r="C10" s="147" t="s">
        <v>578</v>
      </c>
      <c r="D10" s="148" t="s">
        <v>579</v>
      </c>
    </row>
    <row r="11" customFormat="false" ht="14.25" hidden="false" customHeight="false" outlineLevel="0" collapsed="false">
      <c r="A11" s="149" t="s">
        <v>580</v>
      </c>
      <c r="B11" s="150" t="s">
        <v>581</v>
      </c>
      <c r="C11" s="151" t="s">
        <v>582</v>
      </c>
      <c r="D11" s="152" t="s">
        <v>583</v>
      </c>
    </row>
    <row r="12" customFormat="false" ht="14.25" hidden="false" customHeight="false" outlineLevel="0" collapsed="false">
      <c r="A12" s="149" t="s">
        <v>584</v>
      </c>
      <c r="B12" s="150" t="s">
        <v>585</v>
      </c>
      <c r="C12" s="151" t="s">
        <v>586</v>
      </c>
      <c r="D12" s="152" t="s">
        <v>587</v>
      </c>
    </row>
    <row r="13" customFormat="false" ht="14.25" hidden="false" customHeight="false" outlineLevel="0" collapsed="false">
      <c r="A13" s="153" t="s">
        <v>588</v>
      </c>
      <c r="B13" s="154" t="s">
        <v>589</v>
      </c>
      <c r="C13" s="155" t="s">
        <v>590</v>
      </c>
      <c r="D13" s="156" t="s">
        <v>591</v>
      </c>
    </row>
    <row r="15" customFormat="false" ht="14.25" hidden="false" customHeight="false" outlineLevel="0" collapsed="false">
      <c r="A15" s="54" t="s">
        <v>592</v>
      </c>
    </row>
    <row r="17" customFormat="false" ht="14.25" hidden="false" customHeight="false" outlineLevel="0" collapsed="false">
      <c r="A17" s="54" t="s">
        <v>593</v>
      </c>
    </row>
    <row r="18" customFormat="false" ht="14.25" hidden="false" customHeight="false" outlineLevel="0" collapsed="false">
      <c r="A18" s="136" t="s">
        <v>594</v>
      </c>
    </row>
    <row r="20" customFormat="false" ht="14.25" hidden="false" customHeight="false" outlineLevel="0" collapsed="false">
      <c r="A20" s="54" t="s">
        <v>595</v>
      </c>
    </row>
    <row r="21" customFormat="false" ht="15" hidden="false" customHeight="true" outlineLevel="0" collapsed="false">
      <c r="A21" s="141" t="s">
        <v>596</v>
      </c>
    </row>
    <row r="23" customFormat="false" ht="14.25" hidden="false" customHeight="false" outlineLevel="0" collapsed="false">
      <c r="A23" s="54" t="s">
        <v>597</v>
      </c>
    </row>
    <row r="24" customFormat="false" ht="18" hidden="false" customHeight="true" outlineLevel="0" collapsed="false">
      <c r="A24" s="157" t="s">
        <v>598</v>
      </c>
    </row>
    <row r="26" customFormat="false" ht="14.25" hidden="false" customHeight="false" outlineLevel="0" collapsed="false">
      <c r="A26" s="54" t="s">
        <v>599</v>
      </c>
    </row>
    <row r="27" customFormat="false" ht="18" hidden="false" customHeight="true" outlineLevel="0" collapsed="false">
      <c r="A27" s="157" t="s">
        <v>600</v>
      </c>
    </row>
    <row r="29" customFormat="false" ht="14.25" hidden="false" customHeight="false" outlineLevel="0" collapsed="false">
      <c r="A29" s="54" t="s">
        <v>601</v>
      </c>
    </row>
    <row r="30" customFormat="false" ht="14.25" hidden="false" customHeight="false" outlineLevel="0" collapsed="false">
      <c r="A30" s="0" t="s">
        <v>602</v>
      </c>
    </row>
    <row r="32" customFormat="false" ht="14.25" hidden="false" customHeight="false" outlineLevel="0" collapsed="false">
      <c r="A32" s="143" t="s">
        <v>603</v>
      </c>
    </row>
    <row r="33" customFormat="false" ht="14.25" hidden="false" customHeight="false" outlineLevel="0" collapsed="false">
      <c r="A33" s="143" t="s">
        <v>604</v>
      </c>
    </row>
    <row r="34" customFormat="false" ht="14.25" hidden="false" customHeight="false" outlineLevel="0" collapsed="false">
      <c r="A34" s="143" t="s">
        <v>605</v>
      </c>
    </row>
    <row r="35" customFormat="false" ht="15" hidden="false" customHeight="true" outlineLevel="0" collapsed="false">
      <c r="A35" s="143" t="s">
        <v>606</v>
      </c>
    </row>
    <row r="37" customFormat="false" ht="15" hidden="false" customHeight="true" outlineLevel="0" collapsed="false">
      <c r="A37" s="144" t="s">
        <v>607</v>
      </c>
    </row>
    <row r="38" customFormat="false" ht="14.25" hidden="false" customHeight="false" outlineLevel="0" collapsed="false">
      <c r="A38" s="75" t="s">
        <v>608</v>
      </c>
    </row>
    <row r="40" customFormat="false" ht="18" hidden="false" customHeight="true" outlineLevel="0" collapsed="false">
      <c r="A40" s="54" t="s">
        <v>609</v>
      </c>
      <c r="B40" s="158" t="n">
        <v>0.7</v>
      </c>
    </row>
    <row r="41" customFormat="false" ht="18" hidden="false" customHeight="true" outlineLevel="0" collapsed="false">
      <c r="A41" s="54" t="s">
        <v>610</v>
      </c>
      <c r="B41" s="159" t="n">
        <f aca="false">1-B40</f>
        <v>0.3</v>
      </c>
    </row>
    <row r="42" customFormat="false" ht="18" hidden="false" customHeight="true" outlineLevel="0" collapsed="false">
      <c r="A42" s="54" t="s">
        <v>611</v>
      </c>
      <c r="B42" s="159" t="n">
        <f aca="false">B40+B41</f>
        <v>1</v>
      </c>
      <c r="C42" s="75" t="s">
        <v>612</v>
      </c>
    </row>
    <row r="44" customFormat="false" ht="14.25" hidden="false" customHeight="false" outlineLevel="0" collapsed="false">
      <c r="A44" s="54" t="s">
        <v>613</v>
      </c>
      <c r="B44" s="160" t="str">
        <f aca="false">IF(B40=1,"YES","NO — victim not fully compensated")</f>
        <v>NO — victim not fully compensated</v>
      </c>
    </row>
    <row r="45" customFormat="false" ht="14.25" hidden="false" customHeight="false" outlineLevel="0" collapsed="false">
      <c r="A45" s="54" t="s">
        <v>614</v>
      </c>
      <c r="B45" s="160" t="str">
        <f aca="false">IF(B41=1,"YES","NO — offender forced to pay")</f>
        <v>NO — offender forced to pay</v>
      </c>
    </row>
    <row r="46" customFormat="false" ht="15" hidden="false" customHeight="true" outlineLevel="0" collapsed="false">
      <c r="A46" s="54" t="s">
        <v>615</v>
      </c>
      <c r="B46" s="161" t="str">
        <f aca="false">IF(AND(B40=1,B41=1),"YES","IMPOSSIBLE in closed system")</f>
        <v>IMPOSSIBLE in closed system</v>
      </c>
    </row>
    <row r="48" customFormat="false" ht="15" hidden="false" customHeight="true" outlineLevel="0" collapsed="false">
      <c r="A48" s="143" t="s">
        <v>616</v>
      </c>
    </row>
    <row r="49" customFormat="false" ht="14.25" hidden="false" customHeight="false" outlineLevel="0" collapsed="false">
      <c r="A49" s="143" t="s">
        <v>617</v>
      </c>
    </row>
    <row r="50" customFormat="false" ht="14.25" hidden="false" customHeight="false" outlineLevel="0" collapsed="false">
      <c r="A50" s="143" t="s">
        <v>618</v>
      </c>
    </row>
    <row r="51" customFormat="false" ht="14.25" hidden="false" customHeight="false" outlineLevel="0" collapsed="false">
      <c r="A51" s="145" t="s">
        <v>619</v>
      </c>
      <c r="B51" s="162" t="s">
        <v>69</v>
      </c>
      <c r="C51" s="162" t="s">
        <v>70</v>
      </c>
      <c r="D51" s="162" t="s">
        <v>71</v>
      </c>
      <c r="E51" s="163" t="s">
        <v>620</v>
      </c>
    </row>
    <row r="52" customFormat="false" ht="28.5" hidden="false" customHeight="true" outlineLevel="0" collapsed="false">
      <c r="A52" s="149" t="s">
        <v>621</v>
      </c>
      <c r="B52" s="164" t="n">
        <v>1</v>
      </c>
      <c r="C52" s="164" t="n">
        <v>0</v>
      </c>
      <c r="D52" s="165" t="s">
        <v>622</v>
      </c>
      <c r="E52" s="152" t="s">
        <v>623</v>
      </c>
    </row>
    <row r="53" customFormat="false" ht="28.5" hidden="false" customHeight="true" outlineLevel="0" collapsed="false">
      <c r="A53" s="149" t="s">
        <v>624</v>
      </c>
      <c r="B53" s="164" t="n">
        <v>0</v>
      </c>
      <c r="C53" s="164" t="n">
        <v>1</v>
      </c>
      <c r="D53" s="165" t="s">
        <v>625</v>
      </c>
      <c r="E53" s="152" t="s">
        <v>626</v>
      </c>
    </row>
    <row r="54" customFormat="false" ht="28.5" hidden="false" customHeight="true" outlineLevel="0" collapsed="false">
      <c r="A54" s="166" t="s">
        <v>627</v>
      </c>
      <c r="B54" s="167" t="n">
        <v>0.5</v>
      </c>
      <c r="C54" s="167" t="n">
        <v>0.5</v>
      </c>
      <c r="D54" s="164" t="n">
        <v>0</v>
      </c>
      <c r="E54" s="168" t="s">
        <v>628</v>
      </c>
    </row>
    <row r="55" customFormat="false" ht="42.75" hidden="false" customHeight="true" outlineLevel="0" collapsed="false">
      <c r="A55" s="153" t="s">
        <v>629</v>
      </c>
      <c r="B55" s="169" t="n">
        <v>1</v>
      </c>
      <c r="C55" s="169" t="n">
        <v>1</v>
      </c>
      <c r="D55" s="169" t="n">
        <v>1</v>
      </c>
      <c r="E55" s="170" t="s">
        <v>630</v>
      </c>
    </row>
    <row r="57" customFormat="false" ht="14.25" hidden="false" customHeight="false" outlineLevel="0" collapsed="false">
      <c r="A57" s="143" t="s">
        <v>631</v>
      </c>
    </row>
    <row r="58" customFormat="false" ht="14.25" hidden="false" customHeight="false" outlineLevel="0" collapsed="false">
      <c r="A58" s="87" t="s">
        <v>632</v>
      </c>
    </row>
    <row r="60" customFormat="false" ht="15" hidden="false" customHeight="true" outlineLevel="0" collapsed="false">
      <c r="A60" s="143" t="s">
        <v>633</v>
      </c>
    </row>
    <row r="61" customFormat="false" ht="14.25" hidden="false" customHeight="false" outlineLevel="0" collapsed="false">
      <c r="A61" s="143" t="s">
        <v>634</v>
      </c>
    </row>
    <row r="63" customFormat="false" ht="14.25" hidden="false" customHeight="false" outlineLevel="0" collapsed="false">
      <c r="A63" s="145" t="s">
        <v>635</v>
      </c>
      <c r="B63" s="162" t="s">
        <v>636</v>
      </c>
      <c r="C63" s="171" t="s">
        <v>637</v>
      </c>
      <c r="D63" s="148" t="s">
        <v>638</v>
      </c>
    </row>
    <row r="64" customFormat="false" ht="28.5" hidden="false" customHeight="true" outlineLevel="0" collapsed="false">
      <c r="A64" s="149" t="s">
        <v>639</v>
      </c>
      <c r="B64" s="164" t="n">
        <v>1983</v>
      </c>
      <c r="C64" s="172" t="s">
        <v>640</v>
      </c>
      <c r="D64" s="152" t="s">
        <v>641</v>
      </c>
    </row>
    <row r="65" customFormat="false" ht="28.5" hidden="false" customHeight="true" outlineLevel="0" collapsed="false">
      <c r="A65" s="149" t="s">
        <v>642</v>
      </c>
      <c r="B65" s="164" t="n">
        <v>1979</v>
      </c>
      <c r="C65" s="172" t="s">
        <v>643</v>
      </c>
      <c r="D65" s="152" t="s">
        <v>644</v>
      </c>
    </row>
    <row r="66" customFormat="false" ht="28.5" hidden="false" customHeight="true" outlineLevel="0" collapsed="false">
      <c r="A66" s="149" t="s">
        <v>645</v>
      </c>
      <c r="B66" s="164" t="n">
        <v>1970</v>
      </c>
      <c r="C66" s="172" t="s">
        <v>646</v>
      </c>
      <c r="D66" s="168" t="s">
        <v>647</v>
      </c>
    </row>
    <row r="67" customFormat="false" ht="28.5" hidden="false" customHeight="true" outlineLevel="0" collapsed="false">
      <c r="A67" s="153" t="s">
        <v>648</v>
      </c>
      <c r="B67" s="169" t="n">
        <v>1951</v>
      </c>
      <c r="C67" s="173" t="s">
        <v>649</v>
      </c>
      <c r="D67" s="156" t="s">
        <v>650</v>
      </c>
    </row>
    <row r="69" customFormat="false" ht="14.25" hidden="false" customHeight="false" outlineLevel="0" collapsed="false">
      <c r="A69" s="143" t="s">
        <v>651</v>
      </c>
    </row>
    <row r="70" customFormat="false" ht="14.25" hidden="false" customHeight="false" outlineLevel="0" collapsed="false">
      <c r="A70" s="143" t="s">
        <v>652</v>
      </c>
    </row>
    <row r="72" customFormat="false" ht="15" hidden="false" customHeight="true" outlineLevel="0" collapsed="false">
      <c r="A72" s="144" t="s">
        <v>653</v>
      </c>
    </row>
    <row r="73" customFormat="false" ht="14.25" hidden="false" customHeight="false" outlineLevel="0" collapsed="false">
      <c r="A73" s="54" t="s">
        <v>654</v>
      </c>
    </row>
    <row r="75" customFormat="false" ht="14.25" hidden="false" customHeight="false" outlineLevel="0" collapsed="false">
      <c r="A75" s="54" t="s">
        <v>655</v>
      </c>
    </row>
    <row r="76" customFormat="false" ht="14.25" hidden="false" customHeight="false" outlineLevel="0" collapsed="false">
      <c r="A76" s="0" t="s">
        <v>656</v>
      </c>
    </row>
    <row r="77" customFormat="false" ht="18" hidden="false" customHeight="true" outlineLevel="0" collapsed="false">
      <c r="A77" s="139" t="s">
        <v>657</v>
      </c>
    </row>
    <row r="79" customFormat="false" ht="14.25" hidden="false" customHeight="false" outlineLevel="0" collapsed="false">
      <c r="A79" s="145" t="s">
        <v>381</v>
      </c>
      <c r="B79" s="162" t="s">
        <v>382</v>
      </c>
      <c r="C79" s="148" t="s">
        <v>383</v>
      </c>
    </row>
    <row r="80" customFormat="false" ht="28.5" hidden="false" customHeight="true" outlineLevel="0" collapsed="false">
      <c r="A80" s="149" t="s">
        <v>658</v>
      </c>
      <c r="B80" s="174" t="s">
        <v>659</v>
      </c>
      <c r="C80" s="152" t="s">
        <v>660</v>
      </c>
    </row>
    <row r="81" customFormat="false" ht="28.5" hidden="false" customHeight="true" outlineLevel="0" collapsed="false">
      <c r="A81" s="149" t="s">
        <v>661</v>
      </c>
      <c r="B81" s="174" t="s">
        <v>662</v>
      </c>
      <c r="C81" s="152" t="s">
        <v>663</v>
      </c>
    </row>
    <row r="82" customFormat="false" ht="14.25" hidden="false" customHeight="false" outlineLevel="0" collapsed="false">
      <c r="A82" s="149" t="s">
        <v>664</v>
      </c>
      <c r="B82" s="174" t="s">
        <v>665</v>
      </c>
      <c r="C82" s="152" t="s">
        <v>666</v>
      </c>
    </row>
    <row r="83" customFormat="false" ht="28.5" hidden="false" customHeight="true" outlineLevel="0" collapsed="false">
      <c r="A83" s="153" t="s">
        <v>667</v>
      </c>
      <c r="B83" s="175" t="s">
        <v>668</v>
      </c>
      <c r="C83" s="156" t="s">
        <v>669</v>
      </c>
    </row>
    <row r="85" customFormat="false" ht="14.25" hidden="false" customHeight="false" outlineLevel="0" collapsed="false">
      <c r="A85" s="54" t="s">
        <v>670</v>
      </c>
    </row>
    <row r="86" customFormat="false" ht="18" hidden="false" customHeight="true" outlineLevel="0" collapsed="false">
      <c r="A86" s="157" t="s">
        <v>671</v>
      </c>
    </row>
    <row r="87" customFormat="false" ht="14.25" hidden="false" customHeight="false" outlineLevel="0" collapsed="false">
      <c r="A87" s="87" t="s">
        <v>672</v>
      </c>
    </row>
    <row r="89" customFormat="false" ht="15" hidden="false" customHeight="true" outlineLevel="0" collapsed="false">
      <c r="A89" s="144" t="s">
        <v>673</v>
      </c>
    </row>
    <row r="90" customFormat="false" ht="14.25" hidden="false" customHeight="false" outlineLevel="0" collapsed="false">
      <c r="A90" s="75" t="s">
        <v>674</v>
      </c>
    </row>
    <row r="92" customFormat="false" ht="14.25" hidden="false" customHeight="false" outlineLevel="0" collapsed="false">
      <c r="A92" s="145" t="s">
        <v>675</v>
      </c>
      <c r="B92" s="162" t="s">
        <v>578</v>
      </c>
      <c r="C92" s="171" t="s">
        <v>676</v>
      </c>
      <c r="D92" s="148" t="s">
        <v>677</v>
      </c>
    </row>
    <row r="93" customFormat="false" ht="28.5" hidden="false" customHeight="true" outlineLevel="0" collapsed="false">
      <c r="A93" s="149" t="s">
        <v>678</v>
      </c>
      <c r="B93" s="174" t="s">
        <v>679</v>
      </c>
      <c r="C93" s="172" t="s">
        <v>680</v>
      </c>
      <c r="D93" s="152" t="s">
        <v>681</v>
      </c>
    </row>
    <row r="94" customFormat="false" ht="14.25" hidden="false" customHeight="false" outlineLevel="0" collapsed="false">
      <c r="A94" s="149" t="s">
        <v>682</v>
      </c>
      <c r="B94" s="174" t="s">
        <v>683</v>
      </c>
      <c r="C94" s="172" t="s">
        <v>684</v>
      </c>
      <c r="D94" s="152" t="s">
        <v>685</v>
      </c>
    </row>
    <row r="95" customFormat="false" ht="14.25" hidden="false" customHeight="false" outlineLevel="0" collapsed="false">
      <c r="A95" s="153" t="s">
        <v>686</v>
      </c>
      <c r="B95" s="175" t="s">
        <v>687</v>
      </c>
      <c r="C95" s="173" t="s">
        <v>688</v>
      </c>
      <c r="D95" s="156" t="s">
        <v>689</v>
      </c>
    </row>
    <row r="97" customFormat="false" ht="14.25" hidden="false" customHeight="false" outlineLevel="0" collapsed="false">
      <c r="A97" s="87" t="s">
        <v>690</v>
      </c>
    </row>
    <row r="99" customFormat="false" ht="14.25" hidden="false" customHeight="false" outlineLevel="0" collapsed="false">
      <c r="A99" s="88" t="s">
        <v>691</v>
      </c>
    </row>
    <row r="100" customFormat="false" ht="14.25" hidden="false" customHeight="false" outlineLevel="0" collapsed="false">
      <c r="A100" s="0" t="s">
        <v>692</v>
      </c>
    </row>
    <row r="101" customFormat="false" ht="14.25" hidden="false" customHeight="false" outlineLevel="0" collapsed="false">
      <c r="A101" s="0" t="s">
        <v>693</v>
      </c>
    </row>
    <row r="102" customFormat="false" ht="14.25" hidden="false" customHeight="false" outlineLevel="0" collapsed="false">
      <c r="A102" s="54" t="s">
        <v>694</v>
      </c>
    </row>
    <row r="104" customFormat="false" ht="15" hidden="false" customHeight="true" outlineLevel="0" collapsed="false">
      <c r="A104" s="144" t="s">
        <v>695</v>
      </c>
    </row>
    <row r="105" customFormat="false" ht="14.25" hidden="false" customHeight="false" outlineLevel="0" collapsed="false">
      <c r="A105" s="54" t="s">
        <v>696</v>
      </c>
    </row>
    <row r="107" customFormat="false" ht="14.25" hidden="false" customHeight="false" outlineLevel="0" collapsed="false">
      <c r="A107" s="145" t="s">
        <v>697</v>
      </c>
      <c r="B107" s="171" t="s">
        <v>698</v>
      </c>
      <c r="C107" s="147" t="s">
        <v>699</v>
      </c>
      <c r="D107" s="148" t="s">
        <v>700</v>
      </c>
    </row>
    <row r="108" customFormat="false" ht="28.5" hidden="false" customHeight="true" outlineLevel="0" collapsed="false">
      <c r="A108" s="149" t="s">
        <v>701</v>
      </c>
      <c r="B108" s="172" t="s">
        <v>702</v>
      </c>
      <c r="C108" s="176" t="n">
        <v>1</v>
      </c>
      <c r="D108" s="152" t="s">
        <v>703</v>
      </c>
    </row>
    <row r="109" customFormat="false" ht="28.5" hidden="false" customHeight="true" outlineLevel="0" collapsed="false">
      <c r="A109" s="149" t="s">
        <v>704</v>
      </c>
      <c r="B109" s="172" t="s">
        <v>705</v>
      </c>
      <c r="C109" s="177" t="s">
        <v>706</v>
      </c>
      <c r="D109" s="152" t="s">
        <v>707</v>
      </c>
    </row>
    <row r="110" customFormat="false" ht="28.5" hidden="false" customHeight="true" outlineLevel="0" collapsed="false">
      <c r="A110" s="153" t="s">
        <v>708</v>
      </c>
      <c r="B110" s="173" t="s">
        <v>709</v>
      </c>
      <c r="C110" s="178" t="s">
        <v>710</v>
      </c>
      <c r="D110" s="156" t="s">
        <v>711</v>
      </c>
    </row>
    <row r="112" customFormat="false" ht="14.25" hidden="false" customHeight="false" outlineLevel="0" collapsed="false">
      <c r="A112" s="54" t="s">
        <v>712</v>
      </c>
    </row>
    <row r="113" customFormat="false" ht="14.25" hidden="false" customHeight="false" outlineLevel="0" collapsed="false">
      <c r="A113" s="75" t="s">
        <v>713</v>
      </c>
    </row>
    <row r="115" customFormat="false" ht="15" hidden="false" customHeight="true" outlineLevel="0" collapsed="false">
      <c r="A115" s="144" t="s">
        <v>714</v>
      </c>
    </row>
    <row r="116" customFormat="false" ht="14.25" hidden="false" customHeight="false" outlineLevel="0" collapsed="false">
      <c r="A116" s="75" t="s">
        <v>715</v>
      </c>
    </row>
    <row r="118" customFormat="false" ht="14.25" hidden="false" customHeight="false" outlineLevel="0" collapsed="false">
      <c r="A118" s="179" t="s">
        <v>716</v>
      </c>
      <c r="B118" s="180"/>
      <c r="C118" s="181" t="s">
        <v>717</v>
      </c>
    </row>
    <row r="119" customFormat="false" ht="28.5" hidden="false" customHeight="true" outlineLevel="0" collapsed="false">
      <c r="A119" s="182" t="s">
        <v>718</v>
      </c>
      <c r="B119" s="172"/>
      <c r="C119" s="152" t="s">
        <v>719</v>
      </c>
    </row>
    <row r="120" customFormat="false" ht="28.5" hidden="false" customHeight="true" outlineLevel="0" collapsed="false">
      <c r="A120" s="182" t="s">
        <v>720</v>
      </c>
      <c r="B120" s="172"/>
      <c r="C120" s="152" t="s">
        <v>721</v>
      </c>
    </row>
    <row r="121" customFormat="false" ht="28.5" hidden="false" customHeight="true" outlineLevel="0" collapsed="false">
      <c r="A121" s="182" t="s">
        <v>722</v>
      </c>
      <c r="B121" s="172"/>
      <c r="C121" s="152" t="s">
        <v>723</v>
      </c>
    </row>
    <row r="122" customFormat="false" ht="28.5" hidden="false" customHeight="true" outlineLevel="0" collapsed="false">
      <c r="A122" s="182" t="s">
        <v>724</v>
      </c>
      <c r="B122" s="172"/>
      <c r="C122" s="152" t="s">
        <v>725</v>
      </c>
    </row>
    <row r="123" customFormat="false" ht="28.5" hidden="false" customHeight="true" outlineLevel="0" collapsed="false">
      <c r="A123" s="182" t="s">
        <v>726</v>
      </c>
      <c r="B123" s="172"/>
      <c r="C123" s="152" t="s">
        <v>727</v>
      </c>
    </row>
    <row r="124" customFormat="false" ht="28.5" hidden="false" customHeight="true" outlineLevel="0" collapsed="false">
      <c r="A124" s="183" t="s">
        <v>728</v>
      </c>
      <c r="B124" s="173"/>
      <c r="C124" s="156" t="s">
        <v>729</v>
      </c>
    </row>
    <row r="126" customFormat="false" ht="14.25" hidden="false" customHeight="false" outlineLevel="0" collapsed="false">
      <c r="A126" s="54" t="s">
        <v>730</v>
      </c>
    </row>
    <row r="127" customFormat="false" ht="14.25" hidden="false" customHeight="false" outlineLevel="0" collapsed="false">
      <c r="A127" s="54" t="s">
        <v>731</v>
      </c>
    </row>
    <row r="128" customFormat="false" ht="14.25" hidden="false" customHeight="false" outlineLevel="0" collapsed="false">
      <c r="A128" s="54" t="s">
        <v>732</v>
      </c>
    </row>
    <row r="130" customFormat="false" ht="15" hidden="false" customHeight="true" outlineLevel="0" collapsed="false">
      <c r="A130" s="184" t="s">
        <v>733</v>
      </c>
    </row>
    <row r="132" customFormat="false" ht="14.25" hidden="false" customHeight="false" outlineLevel="0" collapsed="false">
      <c r="A132" s="185" t="s">
        <v>734</v>
      </c>
    </row>
    <row r="133" customFormat="false" ht="14.25" hidden="false" customHeight="false" outlineLevel="0" collapsed="false">
      <c r="A133" s="143" t="s">
        <v>735</v>
      </c>
    </row>
    <row r="134" customFormat="false" ht="14.25" hidden="false" customHeight="false" outlineLevel="0" collapsed="false">
      <c r="A134" s="143" t="s">
        <v>736</v>
      </c>
    </row>
    <row r="136" customFormat="false" ht="14.25" hidden="false" customHeight="false" outlineLevel="0" collapsed="false">
      <c r="A136" s="185" t="s">
        <v>737</v>
      </c>
      <c r="C136" s="185" t="s">
        <v>738</v>
      </c>
      <c r="D136" s="185" t="s">
        <v>739</v>
      </c>
    </row>
    <row r="137" customFormat="false" ht="14.25" hidden="false" customHeight="false" outlineLevel="0" collapsed="false">
      <c r="A137" s="143" t="s">
        <v>740</v>
      </c>
      <c r="C137" s="143" t="s">
        <v>741</v>
      </c>
      <c r="D137" s="143" t="s">
        <v>742</v>
      </c>
    </row>
    <row r="138" customFormat="false" ht="14.25" hidden="false" customHeight="false" outlineLevel="0" collapsed="false">
      <c r="A138" s="143" t="s">
        <v>743</v>
      </c>
      <c r="C138" s="143" t="s">
        <v>744</v>
      </c>
      <c r="D138" s="143" t="s">
        <v>745</v>
      </c>
    </row>
    <row r="139" customFormat="false" ht="14.25" hidden="false" customHeight="false" outlineLevel="0" collapsed="false">
      <c r="A139" s="143" t="s">
        <v>746</v>
      </c>
      <c r="C139" s="143" t="s">
        <v>747</v>
      </c>
      <c r="D139" s="143" t="s">
        <v>748</v>
      </c>
    </row>
    <row r="140" customFormat="false" ht="14.25" hidden="false" customHeight="false" outlineLevel="0" collapsed="false">
      <c r="A140" s="143" t="s">
        <v>749</v>
      </c>
      <c r="C140" s="143" t="s">
        <v>750</v>
      </c>
      <c r="D140" s="143" t="s">
        <v>751</v>
      </c>
    </row>
    <row r="142" customFormat="false" ht="14.25" hidden="false" customHeight="false" outlineLevel="0" collapsed="false">
      <c r="A142" s="185" t="s">
        <v>752</v>
      </c>
    </row>
    <row r="143" customFormat="false" ht="14.25" hidden="false" customHeight="false" outlineLevel="0" collapsed="false">
      <c r="A143" s="143" t="s">
        <v>753</v>
      </c>
    </row>
    <row r="144" customFormat="false" ht="14.25" hidden="false" customHeight="false" outlineLevel="0" collapsed="false">
      <c r="A144" s="185" t="s">
        <v>754</v>
      </c>
    </row>
    <row r="146" customFormat="false" ht="14.25" hidden="false" customHeight="false" outlineLevel="0" collapsed="false">
      <c r="A146" s="143" t="s">
        <v>755</v>
      </c>
    </row>
    <row r="147" customFormat="false" ht="14.25" hidden="false" customHeight="false" outlineLevel="0" collapsed="false">
      <c r="A147" s="143" t="s">
        <v>756</v>
      </c>
      <c r="B147" s="143" t="n">
        <v>0.5</v>
      </c>
    </row>
    <row r="149" customFormat="false" ht="14.25" hidden="false" customHeight="false" outlineLevel="0" collapsed="false">
      <c r="A149" s="143" t="s">
        <v>757</v>
      </c>
      <c r="B149" s="143" t="n">
        <f aca="false">1-B147</f>
        <v>0.5</v>
      </c>
    </row>
    <row r="150" customFormat="false" ht="14.25" hidden="false" customHeight="false" outlineLevel="0" collapsed="false">
      <c r="A150" s="143" t="s">
        <v>758</v>
      </c>
      <c r="B150" s="143" t="str">
        <f aca="false">IF(B147=0,"f=0: no forgiveness given — offender pays all (justice endpoint, still on line)","NO — J="&amp;TEXT(B149,"0.00")&amp;". Victim bears the deficit. On the line.")</f>
        <v>NO — J=0.50. Victim bears the deficit. On the line.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2026-07-08T05:34:52Z</dcterms:created>
  <dc:creator>David Lowe</dc:creator>
  <dc:description/>
  <dc:language>en-US</dc:language>
  <cp:lastModifiedBy>David Lowe</cp:lastModifiedBy>
  <dcterms:modified xsi:type="dcterms:W3CDTF">2026-07-15T12:17:24Z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